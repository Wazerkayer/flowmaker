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DASHBOARD" sheetId="2" state="visible" r:id="rId4"/>
    <sheet name="HISTORICAL" sheetId="3" state="visible" r:id="rId5"/>
    <sheet name="SUMMARY Q2 2026" sheetId="4" state="visible" r:id="rId6"/>
    <sheet name="RESULT Q2" sheetId="5" state="visible" r:id="rId7"/>
    <sheet name="Q2 ITSEC" sheetId="6" state="visible" r:id="rId8"/>
    <sheet name="Q2 IPROTEKSI" sheetId="7" state="visible" r:id="rId9"/>
    <sheet name="Q2 FPT" sheetId="8" state="visible" r:id="rId10"/>
    <sheet name="Q2 SAP-Mailing" sheetId="9" state="visible" r:id="rId11"/>
    <sheet name="Q2 JATIS" sheetId="10" state="visible" r:id="rId12"/>
    <sheet name="Q2 SAP-Courier" sheetId="11" state="visible" r:id="rId13"/>
    <sheet name="Q2 MMI" sheetId="12" state="visible" r:id="rId14"/>
    <sheet name="Q2 INDOSAT" sheetId="13" state="visible" r:id="rId15"/>
    <sheet name="Q2 CIPTADRA" sheetId="14" state="visible" r:id="rId16"/>
    <sheet name="Q2 MTARGET" sheetId="15" state="visible" r:id="rId17"/>
    <sheet name="Q2 INMOTION" sheetId="16" state="visible" r:id="rId18"/>
    <sheet name="Q2 MII-SFDC" sheetId="17" state="visible" r:id="rId19"/>
    <sheet name="Q2 SUTRA" sheetId="18" state="visible" r:id="rId20"/>
    <sheet name="Q2 RDS-Printing" sheetId="19" state="visible" r:id="rId21"/>
    <sheet name="Q2 DELOITTE" sheetId="20" state="visible" r:id="rId22"/>
    <sheet name="Q2 TMF" sheetId="21" state="visible" r:id="rId23"/>
    <sheet name="Q2 KPSG-TM" sheetId="22" state="visible" r:id="rId24"/>
    <sheet name="Q2 WIZ" sheetId="23" state="visible" r:id="rId25"/>
    <sheet name="Q2 KPSG-ARSI" sheetId="24" state="visible" r:id="rId26"/>
    <sheet name="Q2 MII-Purecloud" sheetId="25" state="visible" r:id="rId27"/>
    <sheet name="Q2 ESHAEL" sheetId="26" state="visible" r:id="rId28"/>
    <sheet name="RAW DATA Q2 - 1" sheetId="27" state="visible" r:id="rId29"/>
    <sheet name="RAW DATA Q2 - 2" sheetId="28" state="visible" r:id="rId3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<sst xmlns="http://schemas.openxmlformats.org/spreadsheetml/2006/main" count="2080" uniqueCount="692">
  <si>
    <t xml:space="preserve">CRITICAL SUPPLIER PERFORMANCE REVIEW — Q2 2026</t>
  </si>
  <si>
    <t xml:space="preserve">File khusus Q2 2026 (terpisah dari file Q1 2026)</t>
  </si>
  <si>
    <t xml:space="preserve">1. ISI FILE INI</t>
  </si>
  <si>
    <t xml:space="preserve">• RAW DATA Q2 - 1 / Q2 - 2 — data mentah asli dari Microsoft Forms untuk periode Q2 2026 (jangan diedit, sumber data utama).</t>
  </si>
  <si>
    <t xml:space="preserve">• 21 sheet per-vendor (prefix 'Q2 ') — satu sheet per vendor, menampilkan SEMUA pertanyaan &amp; jawaban asli (bukan cuma rata-rata), formula live ke RAW DATA.</t>
  </si>
  <si>
    <t xml:space="preserve">• RESULT Q2 — konsolidasi ke-21 vendor tsb + 1 baris untuk Arah Sejahtera Abadi (Kuncit) yang tidak mengisi assessment Q2.</t>
  </si>
  <si>
    <t xml:space="preserve">• HISTORICAL — tren skor 2024 s.d. Q2 2026, dengan Score + User Comment + Remarks per kuartal (sesuai format yang sudah baku dipakai sebelumnya, hanya dirapikan tampilannya).</t>
  </si>
  <si>
    <t xml:space="preserve">• DASHBOARD — cari vendor via dropdown, langsung muncul skor terkini, status, tren, riwayat performance per kuartal LENGKAP dengan comment-nya, grafik tren, dan tabel ringkasan semua vendor.</t>
  </si>
  <si>
    <t xml:space="preserve">• SUMMARY Q2 2026 — ringkasan angka: jumlah vendor dievaluasi, % evaluasi, status keseluruhan.</t>
  </si>
  <si>
    <t xml:space="preserve">2. FILE INI TERPISAH DARI Q1 2026</t>
  </si>
  <si>
    <t xml:space="preserve">File 'SUPERMAN_Performance_Review_Q1_2026_REVAMPED.xlsx' yang sebelumnya dibuat adalah pegangan Q1 tersendiri dan TIDAK digabung ke file ini. HISTORICAL di file ini tetap menampilkan tren dari 2024 sampai Q1 2026 sebagai data referensi (angka historis, bukan link langsung ke file Q1), lalu kolom Q2 2026 baru yang formula-nya live ke RESULT Q2 di file ini sendiri.</t>
  </si>
  <si>
    <t xml:space="preserve">3. KLARIFIKASI DARI DISKUSI SEBELUMNYA</t>
  </si>
  <si>
    <t xml:space="preserve">• Vendor Satria Antaran Prima dengan lebih dari 1 business user pengisi (untuk service Courier maupun Mailing Room) adalah KASUS NORMAL — bukan data error. Untuk Courier Service, kedua user (Fifin Sarinurlita &amp; Novia Laras Santi) menilai pertanyaan yang identik; skor pada sheet 'Q2 SAP-Courier' adalah rata-rata keduanya.</t>
  </si>
  <si>
    <t xml:space="preserve">• HISTORICAL tetap mempertahankan kolom User Comment dan Remarks per kuartal sesuai format yang memang diinginkan — tidak disederhanakan jadi angka saja.</t>
  </si>
  <si>
    <t xml:space="preserve">• DASHBOARD: cukup cari nama vendor di sel C3 (sheet DASHBOARD), maka otomatis muncul nilai performance kuartal ini DAN riwayat historisnya kuartal demi kuartal (skor, status, dan comment/remarks aslinya).</t>
  </si>
  <si>
    <t xml:space="preserve">4. TEMUAN &amp; KOREKSI DATA (mohon dikonfirmasi)</t>
  </si>
  <si>
    <t xml:space="preserve">  a) Skor Q1 2026 untuk SATRIA ANTARAN PRIMA - MAILING ROOM di file HISTORICAL asli ternyata salah copy dari data Courier Service (bug copy-paste di file original Q1). Di file ini sudah DIKOREKSI ke nilai yang benar (3.40, bukan 3.06 seperti versi lama), status tetap 'Meet Expectation'.</t>
  </si>
  <si>
    <t xml:space="preserve">  b) Skor Q1 2026 untuk REYCOM DOCUMENT SOLUTION sebelumnya mengandung bug formula (relationship dimension tidak terhitung dengan benar). Sudah DIKOREKSI ke 4.77 (dari 3.57 sebelumnya) — status berubah dari 'Meet Expectation' jadi 'Exceed Expectation'. Detail lengkap ada di file Q1 REVAMPED.</t>
  </si>
  <si>
    <t xml:space="preserve">  c) REYCOM DOCUMENT SOLUTION submit assessment Q2 2x (user sama, Yulia Kurniati) — submission pertama (2 Juli) hanya 11 dari 21 pertanyaan, submission kedua (8 Juli) menjawab lengkap. Sheet ini pakai submission KEDUA sebagai data resmi.</t>
  </si>
  <si>
    <t xml:space="preserve">  d) 3 vendor/proyek BARU muncul di Q2 (belum ada di Q1): Karyaputra Suryagemilang - Purecloud Decommisioning, Mitra Integrasi Informatika - Purecloud Decommisioning, ESHAEL Indonesia - Talent Assesment. Pertanyaan mereka sepenuhnya baru/custom, sehingga pembagian dimensi Quality vs Timeline pada pertanyaan tsb memakai HEURISTIK KATA KUNCI otomatis (kata seperti 'within', 'schedule', 'SLA', 'on time' → Timeline; sisanya → Quality). Mohon di-spot-check SRM untuk item yang ambigu.</t>
  </si>
  <si>
    <t xml:space="preserve">  e) ARAH SEJAHTERA ABADI (Kuncit) tidak mengisi assessment Q2 2026 — ditandai 'Tidak Dievaluasi Q2' di semua sheet terkait.</t>
  </si>
  <si>
    <t xml:space="preserve">5. AMBANG BATAS STATUS</t>
  </si>
  <si>
    <t xml:space="preserve">  Score &gt; 4.99 → Exceptional  |  Score &gt; 3.99 → Exceed Expectation  |  Score &gt;= 2.99 → Meet Expectation  |  Score &gt; 1.9 → Below Expectation  |  Score &lt;= 1.9 → Unsatisfactory</t>
  </si>
  <si>
    <t xml:space="preserve">DASHBOARD — CRITICAL SUPPLIER PERFORMANCE REVIEW (Q2 2026)</t>
  </si>
  <si>
    <t xml:space="preserve">🔍 Cari Vendor:</t>
  </si>
  <si>
    <t xml:space="preserve">INDOSAT - LAYANAN PBX BERBASISKAN CLOUD DENGAN TEKNOLOGI SIP TRUNK</t>
  </si>
  <si>
    <t xml:space="preserve">MatchRow</t>
  </si>
  <si>
    <t xml:space="preserve">(pilih dari dropdown, atau ketik sebagian nama)</t>
  </si>
  <si>
    <t xml:space="preserve">Vendor</t>
  </si>
  <si>
    <t xml:space="preserve">Service</t>
  </si>
  <si>
    <t xml:space="preserve">PIC Saat Ini</t>
  </si>
  <si>
    <t xml:space="preserve">Skor Q2 2026</t>
  </si>
  <si>
    <t xml:space="preserve">Status Q2 2026</t>
  </si>
  <si>
    <t xml:space="preserve">Skor Q1 2026</t>
  </si>
  <si>
    <t xml:space="preserve">Tren vs Q1</t>
  </si>
  <si>
    <t xml:space="preserve">RIWAYAT PERFORMANCE PER KUARTAL</t>
  </si>
  <si>
    <t xml:space="preserve">Periode</t>
  </si>
  <si>
    <t xml:space="preserve">Skor</t>
  </si>
  <si>
    <t xml:space="preserve">Status</t>
  </si>
  <si>
    <t xml:space="preserve">User Comment / Remarks</t>
  </si>
  <si>
    <t xml:space="preserve">ChartVal</t>
  </si>
  <si>
    <t xml:space="preserve">2024 Q1</t>
  </si>
  <si>
    <t xml:space="preserve">2024 Q2</t>
  </si>
  <si>
    <t xml:space="preserve">2024 Q3</t>
  </si>
  <si>
    <t xml:space="preserve">2024 Q4</t>
  </si>
  <si>
    <t xml:space="preserve">2025 Q1</t>
  </si>
  <si>
    <t xml:space="preserve">2025 Q2</t>
  </si>
  <si>
    <t xml:space="preserve">2025 Q3</t>
  </si>
  <si>
    <t xml:space="preserve">2025 Q4</t>
  </si>
  <si>
    <t xml:space="preserve">2026 Q1</t>
  </si>
  <si>
    <t xml:space="preserve">2026 Q2</t>
  </si>
  <si>
    <t xml:space="preserve">RINGKASAN SEMUA VENDOR (Q2 2026)</t>
  </si>
  <si>
    <t xml:space="preserve">No</t>
  </si>
  <si>
    <t xml:space="preserve">Status Terkini</t>
  </si>
  <si>
    <t xml:space="preserve">Tren</t>
  </si>
  <si>
    <t xml:space="preserve">HISTORICAL PERFORMANCE REVIEW — SEMUA VENDOR (2024 s.d. Q2 2026)</t>
  </si>
  <si>
    <t xml:space="preserve">Catatan: skor Q1 2026 untuk Satria Antaran Prima (Mailing Room) &amp; Reycom Document Solution sudah DIKOREKSI dari laporan resmi sebelumnya (ditemukan bug formula/copy-paste di file asli Q1) — lihat sheet README untuk detail.</t>
  </si>
  <si>
    <t xml:space="preserve">Service Scope</t>
  </si>
  <si>
    <t xml:space="preserve">2024</t>
  </si>
  <si>
    <t xml:space="preserve">2025</t>
  </si>
  <si>
    <t xml:space="preserve">Repetition of Below Expectation</t>
  </si>
  <si>
    <t xml:space="preserve">Catatan Repetisi</t>
  </si>
  <si>
    <t xml:space="preserve">2025 - 2026</t>
  </si>
  <si>
    <t xml:space="preserve">2026 (BARU)</t>
  </si>
  <si>
    <t xml:space="preserve">Score</t>
  </si>
  <si>
    <t xml:space="preserve">Remarks</t>
  </si>
  <si>
    <t xml:space="preserve">User Comment</t>
  </si>
  <si>
    <t xml:space="preserve">Search Key</t>
  </si>
  <si>
    <t xml:space="preserve">PIC Q2 2026</t>
  </si>
  <si>
    <t xml:space="preserve">INDOSAT</t>
  </si>
  <si>
    <t xml:space="preserve">LAYANAN PBX BERBASISKAN CLOUD DENGAN TEKNOLOGI SIP TRUNK</t>
  </si>
  <si>
    <t xml:space="preserve">Meet Expectation</t>
  </si>
  <si>
    <t xml:space="preserve">Below Expectation</t>
  </si>
  <si>
    <t xml:space="preserve">Need improvement for the part of fair and to be  more responsive to solve issues.</t>
  </si>
  <si>
    <t xml:space="preserve">1. Dashboard access to required user
2. Response time to be improved as promised
3. To be more proactive in update the progress
4. To provide regular report (usage, recording, etc)</t>
  </si>
  <si>
    <t xml:space="preserve">improve responsiveness when there is problem appear, and more proactive ask client follow up for the re-solution work or not after fixing. have plan maintenance and communicated earlier to client so client can aware about maintenance process.</t>
  </si>
  <si>
    <t xml:space="preserve">3X</t>
  </si>
  <si>
    <t xml:space="preserve">Sudah dilakukan pemanggilan terhadap vendor yang bersangkutan dan pada Q3 terjadi perbaikan performance pada aspek kualitas jasa yang diberikan, dan pemenuhan timeline SLA</t>
  </si>
  <si>
    <t xml:space="preserve">PLEASE KINDLY IMPROVE REQUIRED REPORT DELIVERY AS AGREED WITH ANALYZED DATA FOR BUSINESS CONSIDERATION.</t>
  </si>
  <si>
    <t xml:space="preserve">BELOW EXPECTATION</t>
  </si>
  <si>
    <t xml:space="preserve">The performance is getting better, please keep improve the performance.</t>
  </si>
  <si>
    <t xml:space="preserve">MEET EXPECTATION</t>
  </si>
  <si>
    <t xml:space="preserve">INFORMASI TEKNOLOGI INDONESIA</t>
  </si>
  <si>
    <t xml:space="preserve">PENYEDIAAN JASA SMS BROADCAST DAN JASA SMS PULL; CONNECTIVITY PRIMARY LINK</t>
  </si>
  <si>
    <t xml:space="preserve">Exceed Expectation</t>
  </si>
  <si>
    <t xml:space="preserve">Sejauh ini untuk Vendor jaris tidak ada kendala, responsif.</t>
  </si>
  <si>
    <t xml:space="preserve">So far Jatis has provided good service</t>
  </si>
  <si>
    <t xml:space="preserve">Secara keseluran service yang diberikan oleh JATIS baik</t>
  </si>
  <si>
    <t xml:space="preserve">0x</t>
  </si>
  <si>
    <t xml:space="preserve">-</t>
  </si>
  <si>
    <t xml:space="preserve">STILL MEET REQUIREMENT </t>
  </si>
  <si>
    <t xml:space="preserve">Jatis has provided good service throughout this year</t>
  </si>
  <si>
    <t xml:space="preserve">MITRA INTEGRASI INFORMATIKA</t>
  </si>
  <si>
    <t xml:space="preserve">SFDC MAINTENANCE</t>
  </si>
  <si>
    <t xml:space="preserve">The response from the MII Team to all the issues and needs we encountered has been quite good. They were able to promptly provide workarounds and broad solutions. The PIC assigned to the project was very communicative and responsible. Please maintain this level of performance, as we truly rely on it.</t>
  </si>
  <si>
    <t xml:space="preserve">Good for MII, keep it up.</t>
  </si>
  <si>
    <t xml:space="preserve">OVERALL, THE SUPPORT FROM MII IS VERY GOOD AND VERY HELPFUL, BOTH IN TERMS OF COMMUNICATION AND TECHNICAL ASPECTS, IT IS VERY EASY TO UNDERSTAND.</t>
  </si>
  <si>
    <t xml:space="preserve">EXCEED EXPECTATION</t>
  </si>
  <si>
    <t xml:space="preserve">verall, the level of support has been satisfactory. The improvements carried out were highly effective, and several demands were consistent with the initial assessment and expectations.</t>
  </si>
  <si>
    <t xml:space="preserve">MULTIFILING MITRA INDONESIA</t>
  </si>
  <si>
    <t xml:space="preserve">RECORD MANAGEMENT SERVICE</t>
  </si>
  <si>
    <t xml:space="preserve">overall OK</t>
  </si>
  <si>
    <t xml:space="preserve">Untuk project destroy harga jangan mahal mahal</t>
  </si>
  <si>
    <t xml:space="preserve">INOVASI FROM MMI FOR SIMPLIFY PROCESS STORAGE </t>
  </si>
  <si>
    <t xml:space="preserve">impprove innovation dan simplyfy process</t>
  </si>
  <si>
    <t xml:space="preserve">CIPTADRA SOFTINDO</t>
  </si>
  <si>
    <t xml:space="preserve">PEMELIHARAAN PERANGKAT LUNAK AXITS  DAN PERANGKAT LUNAK DMTM</t>
  </si>
  <si>
    <t xml:space="preserve">Ciptadra saat ini sudah sangat membantu IT AMFS apabila ada Issue atau Problem yang terjadi di DMTM dengan cepat. </t>
  </si>
  <si>
    <t xml:space="preserve">Ciptadra sudah bekerja dengan baik apabila ada Issue terjadi, sangat fast Response. 
</t>
  </si>
  <si>
    <t xml:space="preserve">Performance is Good</t>
  </si>
  <si>
    <t xml:space="preserve">INMOTION INOVASI TEKNOLOGI</t>
  </si>
  <si>
    <t xml:space="preserve">JASA APLIKASI CHATBOT DAN LIVE CHAT</t>
  </si>
  <si>
    <t xml:space="preserve">More responsive in solving problems and always providing information on the latest features to support future customer service.</t>
  </si>
  <si>
    <t xml:space="preserve">Maintain the consistency and communication that has been established. Always take the initiative to provide the latest information regarding developments in the Live Chat service.</t>
  </si>
  <si>
    <t xml:space="preserve">Tetap selalu berikan Service yang Terbaik</t>
  </si>
  <si>
    <t xml:space="preserve">Sudah dilakukan pemanggilan terhadap vendor yang bersangkutan dan pada Q3 terjadi perbaikan performance</t>
  </si>
  <si>
    <t xml:space="preserve">continue performing thorough and frequent periodic checks to ensure that during service hours, there are no issues that could disrupt operations and resolve the remaining unresolved 401 issue
Berikan umpan balik Anda tentang BizChat</t>
  </si>
  <si>
    <t xml:space="preserve">SATRIA ANTARAN PRIMA TBK</t>
  </si>
  <si>
    <t xml:space="preserve">PENGIRIMAN POLIS DOKUMEN DAN PAKET DALAM NEGERI</t>
  </si>
  <si>
    <t xml:space="preserve">User 1: ada progress positif dari SAP untuk memperbaiki apa yang kurang di periode sebelumnya.
User 2: late respon terhadap keluhan pickup pengiriman dan validasi pengiriman dari PIC Unie. Draft invoice yang dikirimkan blm tertata dengan baik atau sesuai dengan kesamaan data dari User.</t>
  </si>
  <si>
    <t xml:space="preserve">- SAP should be improve the quality of its couriers regarding accuracy of delivery status.
- komunikasi dgn Unie sangat sulit, slow respons, invoice yg dikirimkan juga tidak ada respon dan updatenya ketika sudah di reminder. pickup dokumen secara manual (tidak menggunakan sistem) masih berjalan dan diterima oleh SAP.</t>
  </si>
  <si>
    <t xml:space="preserve">User 1: invoice periode maret-juni 2025 tdk ada update. update status informasi pengiriman tidak valid (fake shipment), kendala akun tidak dapat melakukan input, pickup manual masih terus berjalan (no commit). dah laah caapee
User 2: sudah ada kemajuan mengenai respon terhadap complain handling oleh SAP</t>
  </si>
  <si>
    <t xml:space="preserve">5X</t>
  </si>
  <si>
    <t xml:space="preserve">Pada periode Q2, Business User memberikan konfirmasi bahwa SAP diberi penilaian positif atas adanya perubahan dari proses pickup dokumen dan pengiriman invoice sebagai tanggapan kepada procurement ketika procurement memberikan masukan untuk melakukan penggantian vendor.
Pada periode Q3, User kembali memberikan nilai below expectation dan akan dilakukan pemanggilan kepada vendor terkait. Paralel dengan proses tersebut, procurement melakukan arrangement untuk pemilihan vendor alternatif atas kebutuhan courier services.</t>
  </si>
  <si>
    <t xml:space="preserve">VEMDOR SAP ADA PENINGKATAN TERUTAMA DI KOMUNIKASI PIC NYA </t>
  </si>
  <si>
    <t xml:space="preserve">SAP has provided excellent service throughout this year</t>
  </si>
  <si>
    <t xml:space="preserve">MAILING ROOM</t>
  </si>
  <si>
    <t xml:space="preserve">N/A</t>
  </si>
  <si>
    <t xml:space="preserve">tingkatkan lebih performancenya</t>
  </si>
  <si>
    <t xml:space="preserve">NEED INOVATION FROM SAP FOR SIMPLIFY PROCESS AT AXA MANDIRI MAILING ROOM</t>
  </si>
  <si>
    <t xml:space="preserve">Over all mailing ok, please improve coordinated with Headoffice team for reduce complain/misscomm (ex case overseas shipment )</t>
  </si>
  <si>
    <t xml:space="preserve">TARGET SUKSES SINERGI</t>
  </si>
  <si>
    <t xml:space="preserve">PENGIRIMAN EMAIL MARKETING AUTOMATION</t>
  </si>
  <si>
    <t xml:space="preserve">Overall our partnership going well</t>
  </si>
  <si>
    <t xml:space="preserve">Please keep up the good work!</t>
  </si>
  <si>
    <t xml:space="preserve">Overall Good</t>
  </si>
  <si>
    <t xml:space="preserve">GOOD</t>
  </si>
  <si>
    <t xml:space="preserve">Harganya buat next contrac please murahin ya</t>
  </si>
  <si>
    <t xml:space="preserve">WIZ TECHNOLOGY INDONESIA</t>
  </si>
  <si>
    <t xml:space="preserve">VOICE BOT REMINDER CALL</t>
  </si>
  <si>
    <t xml:space="preserve">so far wiz.AI sudah memenuhi apa yang menjadi kebutuhan kami</t>
  </si>
  <si>
    <t xml:space="preserve">needs better communication for quicker responses.</t>
  </si>
  <si>
    <t xml:space="preserve">sudah baik</t>
  </si>
  <si>
    <t xml:space="preserve">WE EXPECT INITIATIVE TO BE TAKEN IN IMPLEMENTING MITIGATION MEASURES AND IN ACCELERATING THE PROCESS WITHIN COLLABORATION WITH WIZ AI.</t>
  </si>
  <si>
    <t xml:space="preserve">KARYAPUTRA SURYAGEMILANG</t>
  </si>
  <si>
    <t xml:space="preserve">TELEMARKETING REVAMP PROJECT</t>
  </si>
  <si>
    <t xml:space="preserve">Need to speed up the investigation and fixing process when issues arise.</t>
  </si>
  <si>
    <t xml:space="preserve">As we have many projects involved KPSG in AMFS, please do maintain the dedicated team for TM Revamp. Currently activities in other projects may impact in TM Revamp project, i.e. PureCloud Decommissioned impact in TM Revamp activities (huddle meeting) and deliverables (CRs). We believe each project has different urgency and separate budget which need to be considered not impacted each other.</t>
  </si>
  <si>
    <t xml:space="preserve">We concenrn about human resource, somehow we need extra effort time to make Change Request, Assesment Scope and issue. It takes long time to asses new Change Request because availibility human resources.</t>
  </si>
  <si>
    <t xml:space="preserve">2x</t>
  </si>
  <si>
    <t xml:space="preserve">Pada periode Q2 mendapatkan hasil below expectation dan procurement sudah lakukan pemanggilan untuk menyampaikan evaluasi performance tersebut bersama sama dengan business user. Pada periode Q3, business user menyampaikan concern kembali dengan hasil below expectation, dan akan dilakukan pemanggilan kembali kepada KPSG.</t>
  </si>
  <si>
    <t xml:space="preserve">PLEASE BE MORE PERFORMED BECAUSE OUR NEEDS IS SO FAST FOR STRATEGIC DELIVERY</t>
  </si>
  <si>
    <t xml:space="preserve">Diharapkan untuk tim project yang diassign apabila CR sudah di signoff agar availibility dari resource ready</t>
  </si>
  <si>
    <t xml:space="preserve">ARAH SEJAHTERA ABADI</t>
  </si>
  <si>
    <t xml:space="preserve">PERJANJIAN SEWA MENYEWA</t>
  </si>
  <si>
    <t xml:space="preserve">Improve Resolution repair, for this year resolution fro problem dusty and project smell CCC impact project from another tenant behind CCC GF ( NOV 2024 until now still not yet solution )</t>
  </si>
  <si>
    <t xml:space="preserve">for improvment is Improve resolusi repair/corective device Building in tenant area</t>
  </si>
  <si>
    <t xml:space="preserve">adanya SLA atau KPI utuk review kuncit</t>
  </si>
  <si>
    <t xml:space="preserve">3x</t>
  </si>
  <si>
    <t xml:space="preserve">Pada periode Q1, Q2, dan Q3, hasil penilaian evaluasinya cenderung turun karena dari pihak Kuningan City tidak bersedia dianggap sebagai vendor / supplier, yang bisa diberlakukan penilaian performance atas layanan yang diberikan. Dari sisi operasional, memberikan nilai below expectation karena pihak Kuncit dirasa kurang responsif dalam menanggapi keluhan.</t>
  </si>
  <si>
    <t xml:space="preserve">KUNCIT SUPPORT FOR SPACE  AMFS (GIVE MORE ADVANTAGE FREE CHARGE FOR 12), FOR THE REPAIR /SOLUTION NEED MORE IMPROVE TIME OR QUALITY</t>
  </si>
  <si>
    <t xml:space="preserve">Improve quality service, specially for leakage, </t>
  </si>
  <si>
    <t xml:space="preserve">DELOITTE CONSULTING</t>
  </si>
  <si>
    <t xml:space="preserve">DATA PRIVACY TOOLS &amp; PELATIHAN PERSONAL DATA PROTECTION (PDP)</t>
  </si>
  <si>
    <t xml:space="preserve">They need to deepen their product knowledge so that they can be right on target in providing solutions.</t>
  </si>
  <si>
    <t xml:space="preserve">Understand more about product feature knowledge so that vendors can explain accurately and convincingly when there is trouble or product limitations.</t>
  </si>
  <si>
    <t xml:space="preserve">More coordination with PIC Principal Product (Securiti.ai) to get information regarding product updates earlier.</t>
  </si>
  <si>
    <t xml:space="preserve">MORE COORDINATION WITH PIC PRINCIPAL PRODUCT (SECURITI.AI) TO GET INFORMATION REGARDING PRODUCT UPDATES EARLIER.</t>
  </si>
  <si>
    <t xml:space="preserve">Need more improvement regarding initiative to take mitigation/preventive action to prevent the problem from recurring/current issue.</t>
  </si>
  <si>
    <t xml:space="preserve">SUTRA MANAGEMENT CONSULTANCIES</t>
  </si>
  <si>
    <t xml:space="preserve">IMPLEMENTASI SAS IFRS17</t>
  </si>
  <si>
    <t xml:space="preserve">Sometimes the vendor must think out-of-the box meaning that they need to be "somehow creative enough" in expediting the problem-solution approaches to any issues being raised by us as customers in the fields of both IT and Finance/Actuary. They seems to play "by the book" instead of proposing the new ideas and thoughts flexibel enough to be implemented as long as not crossing the compliance issues. Those kind ideas that can help us to have more effective and productive outcomes in the very challenging timeline.</t>
  </si>
  <si>
    <t xml:space="preserve">In overall is above the "Good Criteria" except when starting to develop the infrastructure in the beginning because the development team of this vendor is not in Jakarta but instead in India that added extra challenges for us to communicate (in English) and coordinate (long distance)</t>
  </si>
  <si>
    <t xml:space="preserve">I think we need to be fair that the PSAK117 Methodology is the new thing that even for the vendor to execute in the CSM Engine needs to know some critical particular requirements that business users expect for CSM to deliver. Therefore, CSM Engine needs to be customized, and this takes time from the vendor to adjust/modify. My suggestion for the vendor is to always provide a stand-by expertise in the field of IFRS17 Methodoly, and he/she is able to explain clearly to users how these things work in the CSM System, and how users should provide required items in our existing data input system. Mutual understanding is the key; system modification is easy to implement; and expertise people from the vendor are always stand by</t>
  </si>
  <si>
    <t xml:space="preserve">Local vendor Sutra is affiliated with SAS Technology which is known as more expensive system compared to other vendors during the Vendor Bidding Process. However, SAS Technology System has been used in few well-known insurance companies in Indonesia, so it is easier to get the review and information; mostly positive.   </t>
  </si>
  <si>
    <t xml:space="preserve">TMF INDONESIA</t>
  </si>
  <si>
    <t xml:space="preserve">PAYROLL</t>
  </si>
  <si>
    <t xml:space="preserve">BETTER COORDINATION THAN 2025, REPORTS ARE ALWAYS REVIEWED  BY RELATED MANAGER BEFORE SUBMIT TO AMFS PIC.</t>
  </si>
  <si>
    <t xml:space="preserve">Always check and recheck the task in internal PIC TMF before send the report to AMFS PIC </t>
  </si>
  <si>
    <t xml:space="preserve">REYCOM DOCUMENT SOLUTION</t>
  </si>
  <si>
    <t xml:space="preserve">PRINTING &amp; DMC</t>
  </si>
  <si>
    <t xml:space="preserve">More inovation for 2026</t>
  </si>
  <si>
    <t xml:space="preserve">FPT METRODATA INDONESIA</t>
  </si>
  <si>
    <t xml:space="preserve">PENETRATION TEST</t>
  </si>
  <si>
    <t xml:space="preserve">No need improvement</t>
  </si>
  <si>
    <t xml:space="preserve">IPROTEKSI TELEMATIKA</t>
  </si>
  <si>
    <t xml:space="preserve">no need improvement</t>
  </si>
  <si>
    <t xml:space="preserve">ITSEC ASIA</t>
  </si>
  <si>
    <t xml:space="preserve">Currently no need improvement</t>
  </si>
  <si>
    <t xml:space="preserve">Karyaputra Suryagemilang</t>
  </si>
  <si>
    <t xml:space="preserve">Purecloud Decommisioning</t>
  </si>
  <si>
    <t xml:space="preserve">Mitra Integrasi Informatika</t>
  </si>
  <si>
    <t xml:space="preserve">ESHAEL Indonesia</t>
  </si>
  <si>
    <t xml:space="preserve">Talent Assesment</t>
  </si>
  <si>
    <t xml:space="preserve">CRITICAL SUPPLIER PERFORMANCE REVIEW — SUMMARY Q2 2026</t>
  </si>
  <si>
    <t xml:space="preserve">Periode Review</t>
  </si>
  <si>
    <t xml:space="preserve">Q2 2026</t>
  </si>
  <si>
    <t xml:space="preserve">Jumlah Vendor Dievaluasi</t>
  </si>
  <si>
    <t xml:space="preserve">Total Vendor Kritis (Master List) - Input Manual</t>
  </si>
  <si>
    <t xml:space="preserve">% Vendor Dievaluasi</t>
  </si>
  <si>
    <t xml:space="preserve">Jumlah "Meet / Exceed / Exceptional"</t>
  </si>
  <si>
    <t xml:space="preserve">Jumlah "Under Performance" (Below Expectation/Unsatisfactory)</t>
  </si>
  <si>
    <t xml:space="preserve">Jumlah Vendor Tidak Dievaluasi Q2</t>
  </si>
  <si>
    <t xml:space="preserve">Vendor Critical Below Expectation</t>
  </si>
  <si>
    <t xml:space="preserve">Vendor Baru Q2 2026 (belum ada histori)</t>
  </si>
  <si>
    <t xml:space="preserve">Karyaputra Suryagemilang - Purecloud Decommisioning; Mitra Integrasi Informatika - Purecloud Decommisioning; ESHAEL Indonesia - Talent Assesment</t>
  </si>
  <si>
    <t xml:space="preserve">PIC (User)</t>
  </si>
  <si>
    <t xml:space="preserve">Total Score</t>
  </si>
  <si>
    <t xml:space="preserve">Catatan Data</t>
  </si>
  <si>
    <t xml:space="preserve">Helper: Below/Unsatisfactory Name</t>
  </si>
  <si>
    <t xml:space="preserve">Itsec Asia</t>
  </si>
  <si>
    <t xml:space="preserve">Penetration Testing</t>
  </si>
  <si>
    <t xml:space="preserve">Fauzi ARYANTO</t>
  </si>
  <si>
    <t xml:space="preserve">Iproteksi Telematika</t>
  </si>
  <si>
    <t xml:space="preserve">FPT Metrodata</t>
  </si>
  <si>
    <t xml:space="preserve">Satria Antaran Prima</t>
  </si>
  <si>
    <t xml:space="preserve">Mailing Room</t>
  </si>
  <si>
    <t xml:space="preserve">Ibnu KUMALA</t>
  </si>
  <si>
    <t xml:space="preserve">Informasi Teknologi Indonesia - SMS Broadcast</t>
  </si>
  <si>
    <t xml:space="preserve">Fifin SARINURLITA</t>
  </si>
  <si>
    <t xml:space="preserve">Courier Service</t>
  </si>
  <si>
    <t xml:space="preserve">Fifin SARINURLITA, Novia Laras SANTI</t>
  </si>
  <si>
    <t xml:space="preserve">Skor rata-rata 2 business user (kasus normal, multiple raters untuk vendor/service yang sama).</t>
  </si>
  <si>
    <t xml:space="preserve">Multifiling Mitra Indonesia</t>
  </si>
  <si>
    <t xml:space="preserve">Record Management Service</t>
  </si>
  <si>
    <t xml:space="preserve">Indosat</t>
  </si>
  <si>
    <t xml:space="preserve">Layanan PBX berbasiskan cloud dengan Teknologi SIP Trunk</t>
  </si>
  <si>
    <t xml:space="preserve">Nuril HUDHA</t>
  </si>
  <si>
    <t xml:space="preserve">Ciptadra Softindo</t>
  </si>
  <si>
    <t xml:space="preserve">Pemeliharaan Axits &amp; DMTM</t>
  </si>
  <si>
    <t xml:space="preserve">Raninta MAHARDI</t>
  </si>
  <si>
    <t xml:space="preserve">Target Sukses Sinergi</t>
  </si>
  <si>
    <t xml:space="preserve">Email Marketing Automation</t>
  </si>
  <si>
    <t xml:space="preserve">Bella Friska DEPARI</t>
  </si>
  <si>
    <t xml:space="preserve">Inmotion Inovasi Teknologi</t>
  </si>
  <si>
    <t xml:space="preserve">Jasa Aplikasi Chatbot dan Live Chat</t>
  </si>
  <si>
    <t xml:space="preserve">Djoko DJOKO</t>
  </si>
  <si>
    <t xml:space="preserve">SFDC Maintenance</t>
  </si>
  <si>
    <t xml:space="preserve">Chandra Nugraha PUTRA</t>
  </si>
  <si>
    <t xml:space="preserve">Sutra Management Consultancies</t>
  </si>
  <si>
    <t xml:space="preserve">Implementasi SAS IFRS17</t>
  </si>
  <si>
    <t xml:space="preserve">Tatang SUTIAMAN</t>
  </si>
  <si>
    <t xml:space="preserve">Reycom Document Solution</t>
  </si>
  <si>
    <t xml:space="preserve">Printing &amp; Data Management Center</t>
  </si>
  <si>
    <t xml:space="preserve">Yulia KURNIATI</t>
  </si>
  <si>
    <t xml:space="preserve">Vendor submit 2x; menggunakan submission terakhir (lebih lengkap).</t>
  </si>
  <si>
    <t xml:space="preserve">Deloitte Consulting</t>
  </si>
  <si>
    <t xml:space="preserve">Data Privacy &amp; Pelatihan Personal Data Protection (PDP)</t>
  </si>
  <si>
    <t xml:space="preserve">M. Andrian Patria Shaleh RIZAL</t>
  </si>
  <si>
    <t xml:space="preserve">TMF Indonesia</t>
  </si>
  <si>
    <t xml:space="preserve">Payroll</t>
  </si>
  <si>
    <t xml:space="preserve">Enung HARYATI</t>
  </si>
  <si>
    <t xml:space="preserve">Karya Putra Surya Gemilang</t>
  </si>
  <si>
    <t xml:space="preserve">Telemarketing Revamp Project</t>
  </si>
  <si>
    <t xml:space="preserve">Wiz Technology</t>
  </si>
  <si>
    <t xml:space="preserve">Voice Bot Reminder Call</t>
  </si>
  <si>
    <t xml:space="preserve">Ravika OKTAVIANI</t>
  </si>
  <si>
    <t xml:space="preserve">Noviani MARBUN</t>
  </si>
  <si>
    <t xml:space="preserve">Vendor/proyek baru; belum ada histori kuartal sebelumnya. Klasifikasi Quality/Timeline pada pertanyaan custom memakai heuristik kata kunci — mohon di-review SRM.</t>
  </si>
  <si>
    <t xml:space="preserve">I Gusti Ayu Mira SETYAWARDHANIE</t>
  </si>
  <si>
    <t xml:space="preserve">Arah Sejahtera Abadi</t>
  </si>
  <si>
    <t xml:space="preserve">Perjanjian Sewa Menyewa</t>
  </si>
  <si>
    <t xml:space="preserve">ibnu.kumala@axa-mandiri.co.id</t>
  </si>
  <si>
    <t xml:space="preserve">Tidak Dievaluasi Q2</t>
  </si>
  <si>
    <t xml:space="preserve">Vendor tidak mengisi assessment pada periode Q2 2026.</t>
  </si>
  <si>
    <t xml:space="preserve">HASIL REVIEW VENDOR — Q2 2026</t>
  </si>
  <si>
    <t xml:space="preserve">PIC (Business User)</t>
  </si>
  <si>
    <t xml:space="preserve">Dimensi</t>
  </si>
  <si>
    <t xml:space="preserve">Pertanyaan</t>
  </si>
  <si>
    <t xml:space="preserve">Quality</t>
  </si>
  <si>
    <t xml:space="preserve">Timeline</t>
  </si>
  <si>
    <t xml:space="preserve">Relationship</t>
  </si>
  <si>
    <t xml:space="preserve">Quality Avg (35%)</t>
  </si>
  <si>
    <t xml:space="preserve">Timeline Avg (35%)</t>
  </si>
  <si>
    <t xml:space="preserve">Relationship Avg (30%)</t>
  </si>
  <si>
    <t xml:space="preserve">TOTAL SCORE</t>
  </si>
  <si>
    <t xml:space="preserve">STATUS</t>
  </si>
  <si>
    <t xml:space="preserve">DUE DILIGENCE / COMPLIANCE</t>
  </si>
  <si>
    <t xml:space="preserve">Financial Assessment</t>
  </si>
  <si>
    <t xml:space="preserve">Reputational Assessment</t>
  </si>
  <si>
    <t xml:space="preserve">DPIA</t>
  </si>
  <si>
    <t xml:space="preserve">DPSQ</t>
  </si>
  <si>
    <t xml:space="preserve">VSDDT</t>
  </si>
  <si>
    <t xml:space="preserve">Action Plan</t>
  </si>
  <si>
    <t xml:space="preserve">REMARKS / FEEDBACK</t>
  </si>
  <si>
    <t xml:space="preserve">Informasi Teknologi Indonesia - SMS Broadcast</t>
  </si>
  <si>
    <t xml:space="preserve">Catatan</t>
  </si>
  <si>
    <t xml:space="preserve">Skor merupakan RATA-RATA dari 2 business user yang menilai vendor/service yang sama pada periode ini (kasus normal: multiple raters).</t>
  </si>
  <si>
    <t xml:space="preserve">Novia Laras SANTI</t>
  </si>
  <si>
    <t xml:space="preserve">⚠ Catatan</t>
  </si>
  <si>
    <t xml:space="preserve">Jawaban compliance dari 2 user BERBEDA — mohon konfirmasi dengan SRM/PIC terkait mana yang valid.</t>
  </si>
  <si>
    <t xml:space="preserve">Fifin SARINURLITA:</t>
  </si>
  <si>
    <t xml:space="preserve">Novia Laras SANTI:</t>
  </si>
  <si>
    <t xml:space="preserve">Vendor submit assessment 2x pada periode ini; sheet ini menggunakan submission TERAKHIR (paling lengkap).</t>
  </si>
  <si>
    <t xml:space="preserve">Id</t>
  </si>
  <si>
    <t xml:space="preserve">Waktu mulai</t>
  </si>
  <si>
    <t xml:space="preserve">Waktu selesai</t>
  </si>
  <si>
    <t xml:space="preserve">Email</t>
  </si>
  <si>
    <t xml:space="preserve">Nama</t>
  </si>
  <si>
    <t xml:space="preserve">Business User Full Name</t>
  </si>
  <si>
    <t xml:space="preserve">Supplier and Service</t>
  </si>
  <si>
    <t xml:space="preserve">How would you rate Supplier's ability to understand and meet your needs?</t>
  </si>
  <si>
    <t xml:space="preserve">How would you rate the Quality of fulfillment of specifications required by Perfect Assistant?</t>
  </si>
  <si>
    <t xml:space="preserve">How would you rate the data model of source of leads on customer level, which contains Existing Customers, Potential Customers, and Hot Leads?</t>
  </si>
  <si>
    <t xml:space="preserve">How would you rate the Leads activity evidence and result details, such as Call, Appointment, Visit, and Closing result evidence?</t>
  </si>
  <si>
    <t xml:space="preserve">How would you rate the Sales Activity Management process, as tracked by the Sales Leader and sorted by time range?</t>
  </si>
  <si>
    <t xml:space="preserve">How would you rate the Notification to Sales Team which consist of:</t>
  </si>
  <si>
    <t xml:space="preserve">How would you rate the telephony features which enable to mask either/both Customers’ and Agents’ personal phone number for better customer service and better protection of Customers’ privacy?</t>
  </si>
  <si>
    <t xml:space="preserve">How would you rate the assignment features which enable leaders to re-assign the leads to other FA (e.g. FA resigned or move to other branch then the Leads will be assigned to existing FA)?</t>
  </si>
  <si>
    <t xml:space="preserve">How would you rate the System Availability, Redundancy, and Overload Protection?</t>
  </si>
  <si>
    <t xml:space="preserve">How would you rate the Security Access?</t>
  </si>
  <si>
    <t xml:space="preserve">How would you rate the Audit Trail?</t>
  </si>
  <si>
    <t xml:space="preserve">How would you rate the Overall Supplier's reports including Report of Leads activity record and tracking?</t>
  </si>
  <si>
    <t xml:space="preserve">How would you rate the Resources / Authorized Personel Commitment and Qualification?</t>
  </si>
  <si>
    <t xml:space="preserve">How would you rate supplier initiative to take mitigation/preventive action to prevent recurring problem?</t>
  </si>
  <si>
    <t xml:space="preserve">How would you rate supplier compliance with administrative processes, including completion of draft cooperation contract?</t>
  </si>
  <si>
    <t xml:space="preserve">How would you rate the Integration with Perfect Assistant?</t>
  </si>
  <si>
    <t xml:space="preserve">How would you rate the use of channels to avoid customer data leaks?</t>
  </si>
  <si>
    <t xml:space="preserve">How would you rate the Access to the recording dashboard?</t>
  </si>
  <si>
    <t xml:space="preserve">How would you rate the Security compare to its standard? </t>
  </si>
  <si>
    <t xml:space="preserve">How would you rate Supplier's ability to understand and meet your needs?1</t>
  </si>
  <si>
    <t xml:space="preserve">How would you rate the goods/services provided by the Supplier against the agreed standards?</t>
  </si>
  <si>
    <t xml:space="preserve">How would you rate the accuracy of the data in the Supplier's reports?</t>
  </si>
  <si>
    <t xml:space="preserve">How would you rate overall quality of the work reports provided by the Supplier?</t>
  </si>
  <si>
    <t xml:space="preserve">How would you rate the solutions provided when there is trouble?</t>
  </si>
  <si>
    <t xml:space="preserve">How would you rate the resolution to the problem that occurred?</t>
  </si>
  <si>
    <t xml:space="preserve">How would you rate the speed of resolution given to problems that occur?</t>
  </si>
  <si>
    <t xml:space="preserve">How would you rate the supplier initiative to take mitigation/preventive action to prevent the problem from recurring?</t>
  </si>
  <si>
    <t xml:space="preserve">How would you rate supplier compliance with administrative processes, including completion of draft cooperation contract?1</t>
  </si>
  <si>
    <t xml:space="preserve">How would you rate the Implementation of UAT?</t>
  </si>
  <si>
    <t xml:space="preserve">How would you rate the maintenance includes bug fixing and support for system problems that occur in the JATIS MOBILE application/service?</t>
  </si>
  <si>
    <t xml:space="preserve">How would you rate Supplier's ability to understand and meet your needs?2</t>
  </si>
  <si>
    <t xml:space="preserve">How would you rate the The goods/services provided by the Supplier against the agreed standards?</t>
  </si>
  <si>
    <t xml:space="preserve">How would you rate the General support and maintenance requirement?</t>
  </si>
  <si>
    <t xml:space="preserve">How would you rate the Performance Management Requirement which includes to support low latency, documentation, performance monitoring, and any major or minor updates?</t>
  </si>
  <si>
    <t xml:space="preserve">How would you rate the Security Management Requirement?</t>
  </si>
  <si>
    <t xml:space="preserve">How would you rate the Supporting Model which includes onsite support from dedicated engineers and its service level agreement (SLA)?</t>
  </si>
  <si>
    <t xml:space="preserve">How would you rate the accuracy of the data in the Supplier's reports?1</t>
  </si>
  <si>
    <t xml:space="preserve">How would you rate overall quality of the work reports provided by the Supplier?1</t>
  </si>
  <si>
    <t xml:space="preserve">How would you rate the solutions provided when there is trouble?1</t>
  </si>
  <si>
    <t xml:space="preserve">How would you rate the resolution to the problem that occurred?1</t>
  </si>
  <si>
    <t xml:space="preserve">How would you rate the speed of resolution given to problems that occur?1</t>
  </si>
  <si>
    <t xml:space="preserve">How would you rate the supplier initiative to take mitigation/preventive action to prevent the problem from recurring?1</t>
  </si>
  <si>
    <t xml:space="preserve">How would you rate supplier compliance with administrative processes, including completion of draft cooperation contract?2</t>
  </si>
  <si>
    <t xml:space="preserve">How would you rate The goods/services provided by the Supplier against the agreed standards</t>
  </si>
  <si>
    <t xml:space="preserve">How would you rate the supplier's services?</t>
  </si>
  <si>
    <t xml:space="preserve">How would you rate the supplier's service in providing a guarantee of administrative services for archive management, computer data collection for all AXA cartons, and ease of access for AXA to the ar</t>
  </si>
  <si>
    <t xml:space="preserve">How would you rate the supplier's service in providing the required number of empty cartons?</t>
  </si>
  <si>
    <t xml:space="preserve">How would you rate overall quality of the work reports provided by the Supplier?2</t>
  </si>
  <si>
    <t xml:space="preserve">How would you rate the completeness report containing the number of AXA cartons deposited in the supplier's warehouse, a list of cartons that are being borrowed (retrieval) and have not been returned </t>
  </si>
  <si>
    <t xml:space="preserve">How would you rate the solutions provided when there is trouble?2</t>
  </si>
  <si>
    <t xml:space="preserve">How would you rate the resolution to the problem that occurred?2</t>
  </si>
  <si>
    <t xml:space="preserve">How would you rate the speed of resolution given to problems that occur?2</t>
  </si>
  <si>
    <t xml:space="preserve">How would you rate the supplier initiative to take mitigation/preventive action to prevent the problem from recurring?2</t>
  </si>
  <si>
    <t xml:space="preserve">How would you rate supplier compliance with administrative processes, including completion of draft cooperation contract?3</t>
  </si>
  <si>
    <t xml:space="preserve">How would you rate the goods/services provided by the Supplier against the agreed standards1</t>
  </si>
  <si>
    <t xml:space="preserve">How would you rate overall quality of the work reports provided by the Supplier?3</t>
  </si>
  <si>
    <t xml:space="preserve">How would you rate the solutions provided when there is trouble?3</t>
  </si>
  <si>
    <t xml:space="preserve">How would you rate the resolution to the problem that occurred?3</t>
  </si>
  <si>
    <t xml:space="preserve">How would you rate the supplier initiative to take mitigation/preventive action to prevent the problem from recurring?3</t>
  </si>
  <si>
    <t xml:space="preserve">How would you rate the accuracy of the data in the Supplier's reports?2</t>
  </si>
  <si>
    <t xml:space="preserve">How would you rate the overall quality of the work reports provided by the Supplier?</t>
  </si>
  <si>
    <t xml:space="preserve">How would you rate the competence of people provided by the supplier to provide support (understand AXITS and/or DMTM software)?</t>
  </si>
  <si>
    <t xml:space="preserve">How would you rate the supplier support in providing the form of consultation, offsite and onsite support if there is a disruption to application operations?</t>
  </si>
  <si>
    <t xml:space="preserve">How would you rate the supplier support in doing periodic checks once every 3 months to maintain application quality, including application performance checks (profiling) and error log checks?</t>
  </si>
  <si>
    <t xml:space="preserve">How would you rate the supplier support for updating versions of components, frameworks and libraries issued by third parties with prior written approval from AXA if this is possible?</t>
  </si>
  <si>
    <t xml:space="preserve">How would you rate the suppliers support in compliance to security?</t>
  </si>
  <si>
    <t xml:space="preserve">How would you rate the supplier initiative to take mitigation/preventive action to prevent the problem from recurring?4</t>
  </si>
  <si>
    <t xml:space="preserve">How would you rate supplier compliance with administrative processes, including completion of draft cooperation contract?4</t>
  </si>
  <si>
    <t xml:space="preserve">How would you rate the goods/services provided by the Supplier against the agreed standards2</t>
  </si>
  <si>
    <t xml:space="preserve">How would you rate the Customer Interaction Requirement which includes:</t>
  </si>
  <si>
    <t xml:space="preserve">How would you rate the Case Management which includes:</t>
  </si>
  <si>
    <t xml:space="preserve">How would you rate the Integration process which includes:</t>
  </si>
  <si>
    <t xml:space="preserve">How would you rate the Architectural Requirement?</t>
  </si>
  <si>
    <t xml:space="preserve">How would you rate the Security Requirement?</t>
  </si>
  <si>
    <t xml:space="preserve">How would you rate the Backup and Restore, Capacity and Performance Requirements?</t>
  </si>
  <si>
    <t xml:space="preserve">How would you rate the Operational and Configuration Management?</t>
  </si>
  <si>
    <t xml:space="preserve">How would you rate the accuracy of the data in the Supplier's reports?3</t>
  </si>
  <si>
    <t xml:space="preserve">How would you rate overall quality of the work reports provided by the Supplier?4</t>
  </si>
  <si>
    <t xml:space="preserve">How would you rate the solutions provided when there is trouble?4</t>
  </si>
  <si>
    <t xml:space="preserve">How would you rate the resolution to the problem that occurred?4</t>
  </si>
  <si>
    <t xml:space="preserve">How would you rate the speed of resolution given to problems that occur?3</t>
  </si>
  <si>
    <t xml:space="preserve">How would you rate the supplier initiative to take mitigation/preventive action to prevent the problem from recurring?5</t>
  </si>
  <si>
    <t xml:space="preserve">How would you rate supplier compliance with administrative processes, including completion of draft cooperation contract?5</t>
  </si>
  <si>
    <t xml:space="preserve">How would you rate the accuracy of the data in the Supplier's reports?4</t>
  </si>
  <si>
    <t xml:space="preserve">How would you rate the overall quality of the work reports provided by the Supplier?1</t>
  </si>
  <si>
    <t xml:space="preserve">How would you rate the performing installation, setup and configuration of 3Dolphins?</t>
  </si>
  <si>
    <t xml:space="preserve">How would you rate the integration of 3Dolphins with SalesForce?</t>
  </si>
  <si>
    <t xml:space="preserve">How would you rate the Chatbot Corpus with data provided by AXA?</t>
  </si>
  <si>
    <t xml:space="preserve">How would you rate the supplier's services in providing 3Dolphins Solutions as stated in the Functional Specification Document (FSD) and Technical Specification Document (TSD)?</t>
  </si>
  <si>
    <t xml:space="preserve">How would you rate the supplier's services in conducting System Integration Test (SIT) with AXA IT testing team and IT Project Team?</t>
  </si>
  <si>
    <t xml:space="preserve">How would you rate the supplier's services in conducting User Acceptance Test (UAT) with AXA Business Team and Project IT Team?</t>
  </si>
  <si>
    <t xml:space="preserve">How would you rate the supplier's services in migrating to production server or Go Live and providing support after Go Live?</t>
  </si>
  <si>
    <t xml:space="preserve">How would you rate the supplier's services in providing the human resources needed in the project and timeline according to the agreed scope?</t>
  </si>
  <si>
    <t xml:space="preserve">How would you rate the supplier's services in assigning a Project Manager to coordinate with the AXA team?</t>
  </si>
  <si>
    <t xml:space="preserve">How would you rate the supplier's project documentation as follows:</t>
  </si>
  <si>
    <t xml:space="preserve">How would you rate the supplier support in providing the perform maintenance on all software related to 3Dolphins, which is installed in the AXA data center?</t>
  </si>
  <si>
    <t xml:space="preserve">How would you rate the supplier support in providing 3Dolphins application maintenance service time, namely 24 hours x 7 days a week, 365 days/year?</t>
  </si>
  <si>
    <t xml:space="preserve">How would you rate the supplier support in preparing at least 2 people who understand and are experts in chatbots owned by AXA and can also provide support for services that often occur (eg. New custo</t>
  </si>
  <si>
    <t xml:space="preserve">How would you rate the supplier support in providing support center that can be visited during AXA business hours to respond to any questions and issues that arise?</t>
  </si>
  <si>
    <t xml:space="preserve">How would you rate the supplier support in providing SLA reports to AXA?</t>
  </si>
  <si>
    <t xml:space="preserve">How would you rate the supplier support in providing testing and updates the Chatbot Solution if there is a new software version/release/patch according to the required conditions?</t>
  </si>
  <si>
    <t xml:space="preserve">How would you rate the supplier support in reinstall the 3Dolphins application a maximum of 1 time per year if AXA will upgrade the hardware?</t>
  </si>
  <si>
    <t xml:space="preserve">How would you rate the supplier support in providing a checklist to monitor daily activities?</t>
  </si>
  <si>
    <t xml:space="preserve">How would you rate the supplier support in providing a testing configuration and event logging?</t>
  </si>
  <si>
    <t xml:space="preserve">How would you rate the supplier support in providing a backup for short and long term?</t>
  </si>
  <si>
    <t xml:space="preserve">How would you rate the goods/services provided by the Supplier against the agreed standards3</t>
  </si>
  <si>
    <t xml:space="preserve">How would you rate the accuracy of the data in the Supplier's reports?5</t>
  </si>
  <si>
    <t xml:space="preserve">How would you rate overall quality of the work reports provided by the Supplier?5</t>
  </si>
  <si>
    <t xml:space="preserve">How would you rate the solutions provided when there is trouble?5</t>
  </si>
  <si>
    <t xml:space="preserve">How would you rate the resolution to the problem that occurred?5</t>
  </si>
  <si>
    <t xml:space="preserve">How would you rate the speed of resolution given to problems that occur</t>
  </si>
  <si>
    <t xml:space="preserve">How would you rate the supplier initiative to take mitigation/preventive action to prevent the problem from recurring?6</t>
  </si>
  <si>
    <t xml:space="preserve">How would you rate supplier compliance with administrative processes, including completion of draft cooperation contract?6</t>
  </si>
  <si>
    <t xml:space="preserve">How would you rate the shipping target achievement?</t>
  </si>
  <si>
    <t xml:space="preserve">How would you rate the delivery times? Based on SLA, the delivery time are Monday to Saturday, service levels will remain the same from Monday to Friday.</t>
  </si>
  <si>
    <t xml:space="preserve">How would you rate the Receipt retention period?</t>
  </si>
  <si>
    <t xml:space="preserve">How would you rate the Airway Bill Storage:</t>
  </si>
  <si>
    <t xml:space="preserve">How would you rate the Handling of Policies/Documents and/or delivery process?</t>
  </si>
  <si>
    <t xml:space="preserve">How would you rate the response to complaints/investigations of the delivery process?</t>
  </si>
  <si>
    <t xml:space="preserve">How would you rate the response taken when a delivery failure occurs?</t>
  </si>
  <si>
    <t xml:space="preserve">How would you rate the goods/services provided by the Supplier against the agreed standards?1</t>
  </si>
  <si>
    <t xml:space="preserve">How would you rate the accuracy of the data in the Supplier's reports?6</t>
  </si>
  <si>
    <t xml:space="preserve">How would you rate overall quality of the work reports provided by the Supplier?6</t>
  </si>
  <si>
    <t xml:space="preserve">How would you rate the solutions provided when there is trouble?6</t>
  </si>
  <si>
    <t xml:space="preserve">How would you rate the resolution to the problem that occurred?6</t>
  </si>
  <si>
    <t xml:space="preserve">How would you rate the supplier initiative to take mitigation/preventive action to prevent the problem from recurring?7</t>
  </si>
  <si>
    <t xml:space="preserve">How would you rate the service provided?</t>
  </si>
  <si>
    <t xml:space="preserve">How would you rate the Complaint Handling?</t>
  </si>
  <si>
    <t xml:space="preserve">How would you rate the service provided?1</t>
  </si>
  <si>
    <t xml:space="preserve">How would you rate the accuracy of the data in the Supplier's reports?7</t>
  </si>
  <si>
    <t xml:space="preserve">How would you rate overall quality of the work reports provided by the Supplier?7</t>
  </si>
  <si>
    <t xml:space="preserve">How would you rate the resolution to the problem that occurred?7</t>
  </si>
  <si>
    <t xml:space="preserve">How would you rate the supplier initiative to take mitigation/preventive action to prevent the problem from recurring?8</t>
  </si>
  <si>
    <t xml:space="preserve">How would you rate supplier compliance with administrative processes, including completion of draft cooperation contract?7</t>
  </si>
  <si>
    <t xml:space="preserve">How would you rate the Technical services that is used to penetrate the application which includes:
1. Technical Specification Design.
2. Hardware and capacity sizing for concurrent requests
3. Functi</t>
  </si>
  <si>
    <t xml:space="preserve">How would you rate the after sales support capability and methodology?</t>
  </si>
  <si>
    <t xml:space="preserve">How would you rate the availability of documentation for service (user manual, troubleshoot document, setup document, etc)?</t>
  </si>
  <si>
    <t xml:space="preserve">How would you rate the Technical services that is used to penetrate the application which includes:
1. Technical Specification Design.
2. Hardware and capacity sizing for concurrent requests
3. Functi1</t>
  </si>
  <si>
    <t xml:space="preserve">How would you rate the after sales support capability and methodology?1</t>
  </si>
  <si>
    <t xml:space="preserve">How would you rate the availability of documentation for product (user manual, troubleshoot document, setup document, etc)?</t>
  </si>
  <si>
    <t xml:space="preserve">How would you rate the Technical services that is used to penetrate the application which includes:
1. Technical Specification Design.
2. Hardware and capacity sizing for concurrent requests
3. Functi2</t>
  </si>
  <si>
    <t xml:space="preserve">How would you rate the after sales support capability and methodology?2</t>
  </si>
  <si>
    <t xml:space="preserve">How would you rate the availability of documentation for product (user manual, troubleshoot document, setup document, etc)?1</t>
  </si>
  <si>
    <t xml:space="preserve">How would you rate the supplier's timeliness in delivering goods/services compared to the agreed-upon timeline?</t>
  </si>
  <si>
    <t xml:space="preserve">How would you rate the supplier's timeliness in sending reports to you?</t>
  </si>
  <si>
    <t xml:space="preserve">How would you rate the supplier's speed ​​of administrative completion, including completion of contracts draft?</t>
  </si>
  <si>
    <t xml:space="preserve">How would you rate the supplier's timeliness in delivering goods/services compared to the agreed-upon timeline?1</t>
  </si>
  <si>
    <t xml:space="preserve">How would you rate the supplier's timeliness in sending reports to you?
</t>
  </si>
  <si>
    <t xml:space="preserve">How would you rate the supplier's Traffic Confirmation SLA Fulfillment?
</t>
  </si>
  <si>
    <t xml:space="preserve">How would you rate the supplier's speed ​​of administrative completion, including completion of contracts draft?
</t>
  </si>
  <si>
    <t xml:space="preserve">How would you rate the supplier's timeliness in delivering goods/services compared to the agreed-upon timeline?2</t>
  </si>
  <si>
    <t xml:space="preserve">How would you rate the supplier's timeliness in sending reports to you? Based on SLA, suppliers must provide reports on the 10th of each month.
</t>
  </si>
  <si>
    <t xml:space="preserve">How would you rate the supplier's speed ​​of administrative completion, including completion of contracts draft?
1</t>
  </si>
  <si>
    <t xml:space="preserve">How would you rate the supplier's SLA Fulfillment?
</t>
  </si>
  <si>
    <t xml:space="preserve">How would you rate the Supplier's timeliness in delivering goods/services compared to the agreed-upon timeline?3</t>
  </si>
  <si>
    <t xml:space="preserve">How would you rate the supplier's timeliness in sending reports to you? Based on SLA, support reports should be sent every 3 months on the 10th</t>
  </si>
  <si>
    <t xml:space="preserve">How would you rate the supplier's speed ​​of administrative completion, including completion of contracts draft?1</t>
  </si>
  <si>
    <t xml:space="preserve">How would you rate the supplier's resolution time?</t>
  </si>
  <si>
    <t xml:space="preserve">How would you rate the supplier's timeliness in delivering goods/services compared to the agreed-upon timeline?4</t>
  </si>
  <si>
    <t xml:space="preserve">How would you rate the supplier's timeliness in sending reports to you?1</t>
  </si>
  <si>
    <t xml:space="preserve">How would you rate the supplier's speed ​​of administrative completion, including completion of contracts draft?2</t>
  </si>
  <si>
    <t xml:space="preserve">How would you rate the supplier's communication with you?</t>
  </si>
  <si>
    <t xml:space="preserve">How would you rate the supplier's PIC's availability to be contacted when needed?</t>
  </si>
  <si>
    <t xml:space="preserve">How would you rate the supplier's response speed to you when there are issues?
</t>
  </si>
  <si>
    <t xml:space="preserve">Has the vendor completed the latest Financial Assessment?</t>
  </si>
  <si>
    <t xml:space="preserve">Has the vendor’s Reputational Assessment been performed?</t>
  </si>
  <si>
    <t xml:space="preserve">Does the services require the fulfillment of Data Privacy Impact Assessment (DPIA)?</t>
  </si>
  <si>
    <t xml:space="preserve">Does the services require the fulfillment of Data Privacy Service Provider Questionnaire assessment (DPSQ)?</t>
  </si>
  <si>
    <t xml:space="preserve">Does the services require the fulfillment of Vendor Security Due Diligence Tooling (VSDDT)?</t>
  </si>
  <si>
    <t xml:space="preserve">Please provide feedback or suggestion for the supplier, including areas for improvement</t>
  </si>
  <si>
    <t xml:space="preserve">djoko.djoko@axa-mandiri.co.id</t>
  </si>
  <si>
    <t xml:space="preserve">DJOKO</t>
  </si>
  <si>
    <t xml:space="preserve">Inmotion Inovasi Teknologi - Jasa Aplikasi Chatbot dan Live Chat</t>
  </si>
  <si>
    <t xml:space="preserve">Yes</t>
  </si>
  <si>
    <t xml:space="preserve">Yes, DPIA completed and there are actions to be done by Project Owner</t>
  </si>
  <si>
    <t xml:space="preserve">DPSQ not completed yet</t>
  </si>
  <si>
    <t xml:space="preserve">Yes, VSDDT completed and there are actions to be done by supplier</t>
  </si>
  <si>
    <t xml:space="preserve">Tetap up to date dan helpful</t>
  </si>
  <si>
    <t xml:space="preserve">nuril.hudha@axa-mandiri.co.id</t>
  </si>
  <si>
    <t xml:space="preserve">Nuril Hudha</t>
  </si>
  <si>
    <t xml:space="preserve">Indosat - Layanan PBX berbasiskan cloud dengan Teknologi SIP Trunk</t>
  </si>
  <si>
    <t xml:space="preserve">No Implementation</t>
  </si>
  <si>
    <t xml:space="preserve">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t>
  </si>
  <si>
    <t xml:space="preserve">bella.depari@axa-mandiri.co.id</t>
  </si>
  <si>
    <t xml:space="preserve">Bella Friska Depari</t>
  </si>
  <si>
    <t xml:space="preserve">Target Sukses Sinergi - Email Marketing Automation</t>
  </si>
  <si>
    <t xml:space="preserve">Secara keseluruhan, MTarget telah memberikan dukungan yang baik dalam operasional email campaign dan responsif dalam menangani kebutuhan maupun isu yang muncul. Namun, insiden kesalahan pengiriman email yang terjadi menunjukkan perlunya penguatan pada proses deployment, pengujian, serta validasi sebelum implementasi ke production. Ke depannya, kami berharap MTarget dapat memperkuat proses change management, quality assurance, dan kontrol terhadap segmentasi serta pengiriman email untuk meminimalkan risiko terjadinya insiden serupa.</t>
  </si>
  <si>
    <t xml:space="preserve">fifin.sarinurlita@axa-mandiri.co.id</t>
  </si>
  <si>
    <t xml:space="preserve">Fifin Sarinurlita</t>
  </si>
  <si>
    <t xml:space="preserve">Yes, DPSQ completed</t>
  </si>
  <si>
    <t xml:space="preserve">So far, Jatis Vendor has provided good service. Their response time is fast, and they are able to provide effective solutions whenever issues arise</t>
  </si>
  <si>
    <t xml:space="preserve">Satria Antaran Prima - Courier Service</t>
  </si>
  <si>
    <t xml:space="preserve">SAP has shown improvement in terms of reporting and provides a fast response whenever issues arise.</t>
  </si>
  <si>
    <t xml:space="preserve">novia.santi@axa-mandiri.co.id</t>
  </si>
  <si>
    <t xml:space="preserve">Novia Laras Santi</t>
  </si>
  <si>
    <t xml:space="preserve">1. untuk detail status pengiriman dokumen/barang harus diberikan keterangan penerima dengan lengkap dan jelas;
2. Maks. SLA pengiriman harus memenuhi sesuai dengan yang ditetapkan yaitu &lt;5% not meet SLA;
3. Invoice biaya pengiriman dikirimkan ke user yang sesuai dan dikirimkan tidak melebihi periode yang ditetapkan.
4. Report Stock sesuai dengan real stock di warehouse.
</t>
  </si>
  <si>
    <t xml:space="preserve">B619GA@login.axa</t>
  </si>
  <si>
    <t xml:space="preserve">Fauzi Aryanto</t>
  </si>
  <si>
    <t xml:space="preserve">FPT Metrodata - Penetration Testing</t>
  </si>
  <si>
    <t xml:space="preserve">Iproteksi Telematika - Penetration Testing</t>
  </si>
  <si>
    <t xml:space="preserve">Itsec Asia - Penetration Testing</t>
  </si>
  <si>
    <t xml:space="preserve">Ibnu kumala</t>
  </si>
  <si>
    <t xml:space="preserve">Satria Antaran Prima - Mailing Room</t>
  </si>
  <si>
    <t xml:space="preserve">improve inisiatsis</t>
  </si>
  <si>
    <t xml:space="preserve">Multifiling Mitra Indonesia - Record Management Service</t>
  </si>
  <si>
    <t xml:space="preserve">..</t>
  </si>
  <si>
    <t xml:space="preserve">A591KD@login.axa</t>
  </si>
  <si>
    <t xml:space="preserve">Raninta Mahardi</t>
  </si>
  <si>
    <t xml:space="preserve">Ciptadra Softindo - Pemeliharaan Axits &amp; DMTM</t>
  </si>
  <si>
    <t xml:space="preserve">Ciptadra selalu fast response ketika ada incident yang terjadi di DMTM</t>
  </si>
  <si>
    <t xml:space="preserve">B545KY@login.axa</t>
  </si>
  <si>
    <t xml:space="preserve">Chandra Nugraha Putra</t>
  </si>
  <si>
    <t xml:space="preserve">Mitra Integrasi Informatika - SFDC Maintenance</t>
  </si>
  <si>
    <t xml:space="preserve">Respons terhadap issue maupun kebutuhan sudah cukup baik dan cepat. Support on-site juga sangat membantu dan responsif. Ke depannya, mungkin dapat lebih rutin memberikan update terkait progress kendala atau perbaikan yang sedang dilakukan, sehingga pihak terkait dapat mengetahui status terbaru dan lebih cepat menentukan langkah selanjutnya.</t>
  </si>
  <si>
    <t xml:space="preserve">How would you rate the services provided by the supplier?
</t>
  </si>
  <si>
    <t xml:space="preserve">How would you rate overall quality of the work reports provided by the Supplier</t>
  </si>
  <si>
    <t xml:space="preserve">How would you rate the solutions provided by the supplier when there is trouble?</t>
  </si>
  <si>
    <t xml:space="preserve">How would you rate the goods/services provided by the Supplier against the agreed standards</t>
  </si>
  <si>
    <t xml:space="preserve">How would you rate the accuracy of the data in the Supplier's reports?</t>
  </si>
  <si>
    <t xml:space="preserve">How would you rate the Vendor initiative to take mitigation/preventive action to prevent the problem from recurring?</t>
  </si>
  <si>
    <t xml:space="preserve">How would you rate the supplier implementation on a Project Management Approach, which includes: 
</t>
  </si>
  <si>
    <t xml:space="preserve">How would you rate the supplier support in providing 1 (one) Technical Support personnel who is specifically assigned? Based on SLA, this technical support will be assigned at Menara Global and Graha </t>
  </si>
  <si>
    <t xml:space="preserve">How would you rate the supplier support in providing technical support personnel who will perform several activities such as:
</t>
  </si>
  <si>
    <t xml:space="preserve">How would you rate the supplier support in maintaining 99% SLA for System Availability in providing the Services to AMFS (SLA calculation does not include service downtime triggered by deliverables no</t>
  </si>
  <si>
    <t xml:space="preserve">How would you rate the supplier support in providing Annual Support such as:
</t>
  </si>
  <si>
    <t xml:space="preserve">How would you rate services provided by the Supplier against the agreed standards</t>
  </si>
  <si>
    <t xml:space="preserve">How would you rate the services provided by the Supplier which should include:
</t>
  </si>
  <si>
    <t xml:space="preserve">How would you rate the supplier's accuracy of the data in the Supplier's reports?</t>
  </si>
  <si>
    <t xml:space="preserve">How would you rate the vendor initiative to take mitigation/preventive action to prevent the problem from recurring?1</t>
  </si>
  <si>
    <t xml:space="preserve">How would you rate the supplier services in carrying out maintenance including repairs to the Common Areas and all other areas of the office not mentioned in the Lease, including electrical systems, a</t>
  </si>
  <si>
    <t xml:space="preserve">How would you rate the supplier services in make repairs to:
</t>
  </si>
  <si>
    <t xml:space="preserve">How would you rate the services provided by the Supplier against the agreed standards</t>
  </si>
  <si>
    <t xml:space="preserve">How would you rate the vendor initiative to take mitigation/preventive action to prevent the problem from recurring?2</t>
  </si>
  <si>
    <t xml:space="preserve">How would you rate the supplier's service in providing training materials in accordance with:
</t>
  </si>
  <si>
    <t xml:space="preserve">How would you rate the supplier's service in creating a discussion session that covers current conditions, understanding objectives, and discussions using specific cases from the training material wit</t>
  </si>
  <si>
    <t xml:space="preserve">How would you rate the supplier's service in conducting 1 (one) session of Data Privacy and Protection awareness training sessions for AXA and its related business units, along with a post-test.</t>
  </si>
  <si>
    <t xml:space="preserve">How would you rate the supplier's response time for service issues?
</t>
  </si>
  <si>
    <t xml:space="preserve">How would you rate the supplier's project management &amp; management report?
</t>
  </si>
  <si>
    <t xml:space="preserve">How would you rate the Vendor initiative to take mitigation/preventive action to prevent the problem from recurring?3</t>
  </si>
  <si>
    <t xml:space="preserve">How would you rate the Installation of SAS IFRS17 solution on AXA infrastructure?</t>
  </si>
  <si>
    <t xml:space="preserve">How would you rate the workshops and finalize functional specification documents that summarize requirements which conducted by the supplier?</t>
  </si>
  <si>
    <t xml:space="preserve">How would you rate the implementation of an end-to-end solution flow design for SAS IFRS17?</t>
  </si>
  <si>
    <t xml:space="preserve">How would you rate the Implementation of SAS IFRS17solution?
</t>
  </si>
  <si>
    <t xml:space="preserve">How would you rate the End-to-End Calculation Functions which includes:</t>
  </si>
  <si>
    <t xml:space="preserve">How would you rate the PSAK74 Contract Grouping using Data Input and Predefine Rule which generates:
</t>
  </si>
  <si>
    <t xml:space="preserve">How would you rate PSAK74 System implementation on its standard and configurable rule which includes:
</t>
  </si>
  <si>
    <t xml:space="preserve">How would you rate the currencies and interest rate facilitation?</t>
  </si>
  <si>
    <t xml:space="preserve">How would you rate the capability to estimate the Initial Recognition?</t>
  </si>
  <si>
    <t xml:space="preserve">How would you rate the capability to estimate GMM/PAA/VFA Approach both direct and reinsurance:
</t>
  </si>
  <si>
    <t xml:space="preserve">How would you rate the capability to do the Allocation on Actual Cash Flow (CF):
</t>
  </si>
  <si>
    <t xml:space="preserve">How would you rate the capability to generate PSAK74 Disclosure in monthly base:
</t>
  </si>
  <si>
    <t xml:space="preserve">How would you rate the System Availability, Redundancy, and Overload Protection?
</t>
  </si>
  <si>
    <t xml:space="preserve">How would you rate the Common Security Access?
</t>
  </si>
  <si>
    <t xml:space="preserve">How would you rate the Audit Trail?
</t>
  </si>
  <si>
    <t xml:space="preserve">How would you rate the supplier's service in providing one month warranty support after go-live?
</t>
  </si>
  <si>
    <t xml:space="preserve">How would you rate the supplier's services in conducting three-day user training for SAS IFRS17 solution and conducted one-day system administration training for users?
</t>
  </si>
  <si>
    <t xml:space="preserve">How would you rate the Supplier’s ability to deliver monthly Payroll Services?
</t>
  </si>
  <si>
    <t xml:space="preserve">How would you rate the Supplier’s ability to deliver Cash Management Services, including the following aspects:
</t>
  </si>
  <si>
    <t xml:space="preserve">How would you rate the Supplier’s ability to deliver Compliance Services, including the following aspects:
</t>
  </si>
  <si>
    <t xml:space="preserve">How would you rate the Supplier’s ability to deliver BPJS Kesehatan Services?
</t>
  </si>
  <si>
    <t xml:space="preserve">How would you rate the Supplier’s ability to comply with penalty provisions for payroll processing?
</t>
  </si>
  <si>
    <t xml:space="preserve">How would you rate the Supplier’s ability to execute the Special Project for BPJS Kesehatan?
</t>
  </si>
  <si>
    <t xml:space="preserve">How would you rate the Supplier’s ability to deliver Policy Printing Services SLA?</t>
  </si>
  <si>
    <t xml:space="preserve">Printed policy documents met the agreed material specifications for each policy type?</t>
  </si>
  <si>
    <t xml:space="preserve">How would you rate overall quality of Letter Printing services which includes:
</t>
  </si>
  <si>
    <t xml:space="preserve">How would you rate the overall quality of Training Material Printing service which includes:
</t>
  </si>
  <si>
    <t xml:space="preserve">How would you rate the Data Capture quality control which should be performed at 100% volume (not random/sample check) for all required QC fields
</t>
  </si>
  <si>
    <t xml:space="preserve">How would you rate the Data Capture quality control which should be performed at 100% volume (not random/sample check) for all required QC fields?</t>
  </si>
  <si>
    <t xml:space="preserve">Daily and monthly operational reports were submitted completely, accurately, and on time.</t>
  </si>
  <si>
    <t xml:space="preserve">How would you rate the Data Maintenance, Data Security, and Access Control which includes:</t>
  </si>
  <si>
    <t xml:space="preserve">How would you rate the Recovery Process in the Event of Hardware/Software Failure which includes:</t>
  </si>
  <si>
    <t xml:space="preserve">How would you rate overall Document Management Center service?
</t>
  </si>
  <si>
    <t xml:space="preserve">The ARSI system (Inbound &amp; Outbound) works properly and is ready to use as promised</t>
  </si>
  <si>
    <t xml:space="preserve">The work delivered by KPSG reflects a high level of professionalism and expertise</t>
  </si>
  <si>
    <t xml:space="preserve">The integration with our other systems runs smoothly
</t>
  </si>
  <si>
    <t xml:space="preserve">The features provided work as expected
</t>
  </si>
  <si>
    <t xml:space="preserve">Bugs or errors in the system are rare, and when they occur, they are fixed properly
</t>
  </si>
  <si>
    <t xml:space="preserve">Project documents are complete and clear
</t>
  </si>
  <si>
    <t xml:space="preserve">Regular reports provided by KPSG are accurate and easy to understand
</t>
  </si>
  <si>
    <t xml:space="preserve">KPSG responds well and cooperatively when we raise complaints or request improvements
</t>
  </si>
  <si>
    <t xml:space="preserve">Our data and information are kept secure while using KPSG's system
</t>
  </si>
  <si>
    <t xml:space="preserve">Overall, the quality of KPSG's service meets our expectations
</t>
  </si>
  <si>
    <t xml:space="preserve">The Cloud Data Lakehouse solution functions properly and meets the agreed Acceptance Criteria</t>
  </si>
  <si>
    <t xml:space="preserve">The solution architecture (data ingestion, transformation, semantic layer, reporting, AI/ML integration, data governance) is well-designed and aligned with AXA's target architecture</t>
  </si>
  <si>
    <t xml:space="preserve">Data ingestion, transformation, and modeling (Raw, Refined, Business layers) are accurate and consistent with the agreed data mapping and business rules
</t>
  </si>
  <si>
    <t xml:space="preserve">The reports and dashboards delivered (covering the 12 analytical use cases) meet business needs and are easy to use
</t>
  </si>
  <si>
    <t xml:space="preserve">Data Governance implementation (data quality, data masking, metadata management via Alation) works as expected
</t>
  </si>
  <si>
    <t xml:space="preserve">Security measures (role-based access control, row-level security, data masking, encryption) are properly implemented
</t>
  </si>
  <si>
    <t xml:space="preserve">Testing results (Unit Testing, SIT, Performance Testing, UAT support) show minimal defects, and issues found are properly fixed
</t>
  </si>
  <si>
    <t xml:space="preserve">During the warranty period, the system runs stably without major incidents or performance degradation
</t>
  </si>
  <si>
    <t xml:space="preserve">Knowledge transfer and training provided to the AXA team are clear and useful for day-to-day operations
</t>
  </si>
  <si>
    <t xml:space="preserve">Overall, the quality of Deloitte's work on the Cloud Data Lakehouse project meets our expectations
</t>
  </si>
  <si>
    <t xml:space="preserve">The delivered solution met all agreed functional requirements</t>
  </si>
  <si>
    <t xml:space="preserve">The system passed User Acceptance Testing (UAT) with minimal critical issues or rework needed</t>
  </si>
  <si>
    <t xml:space="preserve">Call recordings were accessible and properly linked within the agreed retention period
</t>
  </si>
  <si>
    <t xml:space="preserve">Reports and dashboards were accurate and matched AXA’s required format
</t>
  </si>
  <si>
    <t xml:space="preserve">Defects or bugs found during the warranty period were minimal and resolved promptly at no extra cost
</t>
  </si>
  <si>
    <t xml:space="preserve">Project documentation was complete, accurate, and submitted on time
</t>
  </si>
  <si>
    <t xml:space="preserve">Training provided was clear and sufficient for AXA’s team to operate independently
</t>
  </si>
  <si>
    <t xml:space="preserve">Overall, the quality of supplier work on the purecloud decommisioning project meets our expectations
</t>
  </si>
  <si>
    <t xml:space="preserve">How would you rate the assessment tools &amp; results (Group Report &amp; Individual Report) for Talent Acquisition/Talent Management needs</t>
  </si>
  <si>
    <t xml:space="preserve">Assessment tools (Psychometric Test, Verbal/Numerical/Abstract Reasoning, Personality Questionnaire, Competency Based Interview, etc.) are relevant and appropriate to participants’ level/grade</t>
  </si>
  <si>
    <t xml:space="preserve">Assessment sessions (online and offline) are conducted in an orderly, professional manner and according to the agreed schedule
</t>
  </si>
  <si>
    <t xml:space="preserve">SHL maintains the confidentiality and security of assessment participants’ Personal Data in accordance with the privacy provisions in the Agreement
</t>
  </si>
  <si>
    <t xml:space="preserve">There are no administrative errors (participant data, grade, test type) throughout the process from Booking Form submission to report delivery
</t>
  </si>
  <si>
    <t xml:space="preserve">SHL proactively coordinates when there is a potential dispute or issue before it impacts participants/AXA
</t>
  </si>
  <si>
    <t xml:space="preserve">Overall, the quality of supplier work on the talent assesment project meets our expectations
</t>
  </si>
  <si>
    <t xml:space="preserve">Policy printing was completed within the agreed H0 → H1 → H3 delivery timeline</t>
  </si>
  <si>
    <t xml:space="preserve">Letter printing (Cetak Surat) was completed within H+2 from AMFS approval of the print data file.</t>
  </si>
  <si>
    <t xml:space="preserve">Training material printing (Cetak Dokumen Materi Training) was completed within all three agreed SLA phases</t>
  </si>
  <si>
    <t xml:space="preserve">New Business data was uploaded to RLS within the agreed daily cut-off schedule</t>
  </si>
  <si>
    <t xml:space="preserve">POS and Claim documents were scanned, indexed, and uploaded on the same day within the agreed scanning SLA window</t>
  </si>
  <si>
    <t xml:space="preserve">Physical document retrieval requests from AMFS were fulfilled within 2 working days</t>
  </si>
  <si>
    <t xml:space="preserve">The supplier consistently met late delivery penalty thresholds and did not trigger the escalated penalty clause for policy printing</t>
  </si>
  <si>
    <t xml:space="preserve">The supplier proactively communicated whenever daily SLA targets or processing volumes were at risk of not being met.</t>
  </si>
  <si>
    <t xml:space="preserve">How would you rate the Supplier’s ability to meet payroll disbursement timelines?
</t>
  </si>
  <si>
    <t xml:space="preserve">How would you rate the Supplier’s ability to meet the timelines for report and form submissions, including the following aspects:
</t>
  </si>
  <si>
    <t xml:space="preserve">How would you rate the Supplier’s ability to meet the required timelines for payment processing?
</t>
  </si>
  <si>
    <t xml:space="preserve">KPSG's support team is available during agreed service hours (Mon–Fri, 09:00–18:00), with on-call support outside these hours when needed
</t>
  </si>
  <si>
    <t xml:space="preserve">The system is available at least 99% of the time, with minimal downtime
</t>
  </si>
  <si>
    <t xml:space="preserve">KPSG responds to our service requests within 1 hour during normal working hours
</t>
  </si>
  <si>
    <t xml:space="preserve">Issues are resolved within the agreed timeframe based on impact level
</t>
  </si>
  <si>
    <t xml:space="preserve">How would you rate the Data Back Up processing
</t>
  </si>
  <si>
    <t xml:space="preserve">Project milestones are completed on the agreed dates
</t>
  </si>
  <si>
    <t xml:space="preserve">KPSG gives us early warning if there's a risk of delay in any deliverable
</t>
  </si>
  <si>
    <t xml:space="preserve">Monthly and weekly reports are submitted on time 
</t>
  </si>
  <si>
    <t xml:space="preserve">Any cybersecurity incidents are reported to us within 4 hours of detection
</t>
  </si>
  <si>
    <t xml:space="preserve">Requests for system changes are followed up and completed within the agreed timeline
</t>
  </si>
  <si>
    <t xml:space="preserve">Project milestones are completed on schedule within the agreed 6-month Phase 1 timeline
</t>
  </si>
  <si>
    <t xml:space="preserve">Data discovery and assessment activities are completed within the agreed 1,5-month period
</t>
  </si>
  <si>
    <t xml:space="preserve">Deloitte gives early notice and a mitigation plan if there's a risk of delay to any milestone
</t>
  </si>
  <si>
    <t xml:space="preserve">Incidents are responded to within 10 minutes, regardless of severity level
</t>
  </si>
  <si>
    <t xml:space="preserve">Critical (Severity 1) incidents are resolved within the committed 4-hour timeframe
</t>
  </si>
  <si>
    <t xml:space="preserve">High-severity (Severity 2) incidents are resolved within the committed 8-hour timeframe
</t>
  </si>
  <si>
    <t xml:space="preserve">Change Requests are followed up with a clear impact assessment and completed within the agreed timeline
</t>
  </si>
  <si>
    <t xml:space="preserve">Monthly SLA and performance reports are submitted on time
</t>
  </si>
  <si>
    <t xml:space="preserve">Incident reports (for Severity 1 issues) are submitted within 5 working days after resolution
</t>
  </si>
  <si>
    <t xml:space="preserve">Overall, Deloitte is consistent in meeting all the time commitments agreed for this project
</t>
  </si>
  <si>
    <t xml:space="preserve">The Planning &amp; Architecture phase was completed on schedule
</t>
  </si>
  <si>
    <t xml:space="preserve">The Build/Construction phase was completed on schedule
</t>
  </si>
  <si>
    <t xml:space="preserve">The Validation/UAT phase was completed on schedule
</t>
  </si>
  <si>
    <t xml:space="preserve">The Deployment &amp; Go-Live phase was completed on schedule
</t>
  </si>
  <si>
    <t xml:space="preserve">The supplier responded to reported issues within the agreed response time
</t>
  </si>
  <si>
    <t xml:space="preserve">The supplier resolved reported issues within the agreed resolution time
</t>
  </si>
  <si>
    <t xml:space="preserve">The project was completed without delays requiring AXA to invoke late penalties
</t>
  </si>
  <si>
    <t xml:space="preserve">The supplier proactively communicated whenever a milestone was at risk of delay
</t>
  </si>
  <si>
    <t xml:space="preserve">Booking Forms for Talent Acquisition assessments are processed on the same Business Day if received before 16.30 WIB
</t>
  </si>
  <si>
    <t xml:space="preserve">Booking Forms for Talent Management assessments are responded to on the same Business Day for further scheduling
</t>
  </si>
  <si>
    <t xml:space="preserve">Individual Reports for Talent Acquisition assessments are delivered within H+1 Business Day after the assessment is completed
</t>
  </si>
  <si>
    <t xml:space="preserve">Recap Reports for Talent Acquisition assessments are delivered within H+3 Business Days after the assessment is completed
</t>
  </si>
  <si>
    <t xml:space="preserve">Recap Reports for Talent Management assessments are delivered within H+5 Business Days after the assessment is completed
</t>
  </si>
  <si>
    <t xml:space="preserve">Individual Reports for Talent Management assessments are delivered within H+10 Business Days after the assessment is completed
</t>
  </si>
  <si>
    <t xml:space="preserve">SHL's helpdesk operates and is reachable within the committed service hours (Monday–Friday, 08.00–17.00 WIB).
</t>
  </si>
  <si>
    <t xml:space="preserve">Overall, SHL is consistent in meeting all the time commitments agreed under this Agreement
</t>
  </si>
  <si>
    <t xml:space="preserve">Has the vendor’s Reputational Assessment been completed?</t>
  </si>
  <si>
    <t xml:space="preserve">Based on the the results (Financial, Reputational, DPIA, VSDDT, DPSQ), do you have an action plan in place? If yes, has it been completed, and have you coordinated with the relevant SMEs?</t>
  </si>
  <si>
    <t xml:space="preserve">enung.haryati@axa-mandiri.co.id</t>
  </si>
  <si>
    <t xml:space="preserve">Enung Haryati</t>
  </si>
  <si>
    <t xml:space="preserve">TMF Indonesia - Payroll</t>
  </si>
  <si>
    <t xml:space="preserve">Yes – All action items have been completed and coordinated with relevant SME</t>
  </si>
  <si>
    <t xml:space="preserve">B408EN@login.axa</t>
  </si>
  <si>
    <t xml:space="preserve">Noviani Marbun</t>
  </si>
  <si>
    <t xml:space="preserve">Karyaputra Suryagemilang - Purecloud Decommisioning</t>
  </si>
  <si>
    <t xml:space="preserve">Yes, DPSQ not completed yet</t>
  </si>
  <si>
    <t xml:space="preserve">Yes – Action items identified, but follow‑up and coordination with relevant SME is still required</t>
  </si>
  <si>
    <t xml:space="preserve">1. KPSG-ARSI Perspective (The approach applied is still limited to best practices without considering the scenarios occurring in AMFS).
2. Requirement Gap (There is a significant requirement gap due to missed requirements, caused by insufficient exploration of user needs and requirements)
3. Frequent Manpower (MP) and PIC Changes (Manpower changes occur quite frequently, while the implementation team is no longer on-site. The PIC from KPSG also changes often. It is requested that a dedicated PIC be provided for IT Support as well as a dedicated Project Manager)
4. Deployment Issues (Each deployment consistently results in new issues that impact areas outside the deployment scope. This indicates a lack of proper health checks after deployment).
5. Deployment Communication (Communication regarding deployment plans is still lacking, particularly in obtaining approval from business users. This matter has already been communicated by AMFS to the KPSG team).
6. Contact Center Experience (The team’s experience in contact center operations, especially inbound, remains limited).
7. Change Requests (CR) and Production Issues (Many CRs and production issues are delivered based on targets determined unilaterally by KPSG).
8. User Guide and Feature Socialization. (The User Guide is not well maintained. When new features are introduced, documentation should be updated immediately, socialized to users, and the latest User Guide shared to ensure optimal usage)</t>
  </si>
  <si>
    <t xml:space="preserve">Mitra Integrasi Informatika - Purecloud Decommisioning</t>
  </si>
  <si>
    <t xml:space="preserve">1) Training Process  
During the training sessions, it is expected that explanations are delivered in detail and step by step. When participants are conducting hands-on activities, they should be properly provided with guidance and direct support. This is important to avoid unnecessary questions that could otherwise be answered clearly, ensuring that participants can immediately understand the changes and new features introduced.
2) “Baby Sitting” Phase
In the “baby sitting” phase, the MII team was expected to be present full day on-site at AMFS for two weeks. However, in practice, the team did not consistently attend and only joined full day after being specifically requested. As a result, the actual presence was only around five days instead of the full two weeks as originally required.</t>
  </si>
  <si>
    <t xml:space="preserve">Karya Putra Surya Gemilang - Telemarketing Revamp Project</t>
  </si>
  <si>
    <t xml:space="preserve">1. For AI Implementation, KPSG need to improve the delivery time, quality and PIC availability and backup PIC support
2. Another enhancement need to speed up with dedicated team </t>
  </si>
  <si>
    <t xml:space="preserve">igusti.setyawardhanie@axa-mandiri.co.id</t>
  </si>
  <si>
    <t xml:space="preserve">I Gusti Ayu Mira Setyawardhanie</t>
  </si>
  <si>
    <t xml:space="preserve">ESHAEL Indonesia - Talent Assesment</t>
  </si>
  <si>
    <t xml:space="preserve">No – No action items were required</t>
  </si>
  <si>
    <t xml:space="preserve">ravika.oktaviani@axa-mandiri.co.id</t>
  </si>
  <si>
    <t xml:space="preserve">Ravika Oktaviani</t>
  </si>
  <si>
    <t xml:space="preserve">Wiz Technology - Voice Bot Reminder Call</t>
  </si>
  <si>
    <t xml:space="preserve">To ensure a smooth process, we need to move faster and maintain effective communication</t>
  </si>
  <si>
    <t xml:space="preserve">yulia.kurniati@axa-mandiri.co.id</t>
  </si>
  <si>
    <t xml:space="preserve">Yulia Kurniati</t>
  </si>
  <si>
    <t xml:space="preserve">Reycom Document Solution - Printing &amp; Data Management Center</t>
  </si>
  <si>
    <t xml:space="preserve">Need to make improvement for their technology updated to  support our requirements</t>
  </si>
  <si>
    <t xml:space="preserve">Improvements to their latest Technology to support process at AXA </t>
  </si>
  <si>
    <t xml:space="preserve">tatang.sutiaman@axa-mandiri.co.id</t>
  </si>
  <si>
    <t xml:space="preserve">Tatang Sutiaman</t>
  </si>
  <si>
    <t xml:space="preserve">Sutra Management Consultancies - Implementasi SAS IFRS17</t>
  </si>
  <si>
    <t xml:space="preserve">no feedback</t>
  </si>
  <si>
    <t xml:space="preserve">B276QG@login.axa</t>
  </si>
  <si>
    <t xml:space="preserve">M Andrian Patria SR</t>
  </si>
  <si>
    <t xml:space="preserve">Deloitte Consulting - Data Privacy &amp; Pelatihan Personal Data Protection (PDP)</t>
  </si>
  <si>
    <t xml:space="preserve">In dealing with Security AI-related issues, Deloitte is occasionally unable to provide a resolution and therefore redirects the matter to the Security AI team. Furthermore, several system features are restricted, and these limitations were not clearly communicated at the outset. Consequently, this has created challenges in implementing system enhancements and aligning the system with the business requirements of Security AI users.</t>
  </si>
</sst>
</file>

<file path=xl/styles.xml><?xml version="1.0" encoding="utf-8"?>
<styleSheet xmlns="http://schemas.openxmlformats.org/spreadsheetml/2006/main">
  <numFmts count="5">
    <numFmt numFmtId="164" formatCode="General"/>
    <numFmt numFmtId="165" formatCode="0.00"/>
    <numFmt numFmtId="166" formatCode="0%"/>
    <numFmt numFmtId="167" formatCode="0.0"/>
    <numFmt numFmtId="168" formatCode="yyyy\-mm\-dd\ h:mm:ss"/>
  </numFmts>
  <fonts count="3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595959"/>
      <name val="Arial"/>
      <family val="0"/>
      <charset val="1"/>
    </font>
    <font>
      <sz val="10"/>
      <name val="Arial"/>
      <family val="0"/>
      <charset val="1"/>
    </font>
    <font>
      <b val="true"/>
      <sz val="12"/>
      <color rgb="FF1F3864"/>
      <name val="Arial"/>
      <family val="0"/>
      <charset val="1"/>
    </font>
    <font>
      <b val="true"/>
      <sz val="10"/>
      <color rgb="FFC00000"/>
      <name val="Arial"/>
      <family val="0"/>
      <charset val="1"/>
    </font>
    <font>
      <b val="true"/>
      <sz val="10"/>
      <name val="Arial"/>
      <family val="0"/>
      <charset val="1"/>
    </font>
    <font>
      <b val="true"/>
      <sz val="11"/>
      <name val="Arial"/>
      <family val="0"/>
      <charset val="1"/>
    </font>
    <font>
      <i val="true"/>
      <sz val="8"/>
      <color rgb="FFA6A6A6"/>
      <name val="Cambria"/>
      <family val="0"/>
      <charset val="1"/>
    </font>
    <font>
      <i val="true"/>
      <sz val="8"/>
      <color rgb="FF808080"/>
      <name val="Arial"/>
      <family val="0"/>
      <charset val="1"/>
    </font>
    <font>
      <b val="true"/>
      <sz val="10"/>
      <color rgb="FFFFFFFF"/>
      <name val="Arial"/>
      <family val="0"/>
      <charset val="1"/>
    </font>
    <font>
      <b val="true"/>
      <sz val="14"/>
      <color rgb="FF1F3864"/>
      <name val="Arial"/>
      <family val="0"/>
      <charset val="1"/>
    </font>
    <font>
      <b val="true"/>
      <sz val="11"/>
      <color rgb="FF1F3864"/>
      <name val="Arial"/>
      <family val="0"/>
      <charset val="1"/>
    </font>
    <font>
      <b val="true"/>
      <sz val="9"/>
      <color rgb="FFFFFFFF"/>
      <name val="Arial"/>
      <family val="0"/>
      <charset val="1"/>
    </font>
    <font>
      <sz val="9"/>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3"/>
      <color rgb="FF1F3864"/>
      <name val="Arial"/>
      <family val="0"/>
      <charset val="1"/>
    </font>
    <font>
      <i val="true"/>
      <sz val="9"/>
      <color rgb="FFC00000"/>
      <name val="Arial"/>
      <family val="0"/>
      <charset val="1"/>
    </font>
    <font>
      <i val="true"/>
      <sz val="9"/>
      <name val="Arial"/>
      <family val="0"/>
      <charset val="1"/>
    </font>
    <font>
      <b val="true"/>
      <sz val="14"/>
      <name val="Arial"/>
      <family val="0"/>
      <charset val="1"/>
    </font>
    <font>
      <sz val="11"/>
      <name val="Arial"/>
      <family val="0"/>
      <charset val="1"/>
    </font>
    <font>
      <b val="true"/>
      <sz val="11"/>
      <color rgb="FFFFFFFF"/>
      <name val="Arial"/>
      <family val="0"/>
      <charset val="1"/>
    </font>
    <font>
      <i val="true"/>
      <sz val="11"/>
      <color rgb="FF808080"/>
      <name val="Arial"/>
      <family val="0"/>
      <charset val="1"/>
    </font>
    <font>
      <b val="true"/>
      <sz val="11"/>
      <color rgb="FFC00000"/>
      <name val="Arial"/>
      <family val="0"/>
      <charset val="1"/>
    </font>
    <font>
      <i val="true"/>
      <sz val="11"/>
      <color rgb="FFC00000"/>
      <name val="Arial"/>
      <family val="0"/>
      <charset val="1"/>
    </font>
  </fonts>
  <fills count="10">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F2F2F2"/>
        <bgColor rgb="FFE2EFDA"/>
      </patternFill>
    </fill>
    <fill>
      <patternFill patternType="solid">
        <fgColor rgb="FF2E75B6"/>
        <bgColor rgb="FF4A7EBB"/>
      </patternFill>
    </fill>
    <fill>
      <patternFill patternType="solid">
        <fgColor rgb="FFC00000"/>
        <bgColor rgb="FF800000"/>
      </patternFill>
    </fill>
    <fill>
      <patternFill patternType="solid">
        <fgColor rgb="FFDDEBF7"/>
        <bgColor rgb="FFE2EFDA"/>
      </patternFill>
    </fill>
    <fill>
      <patternFill patternType="solid">
        <fgColor rgb="FFFFF2CC"/>
        <bgColor rgb="FFF2F2F2"/>
      </patternFill>
    </fill>
    <fill>
      <patternFill patternType="solid">
        <fgColor rgb="FFE2EFDA"/>
        <bgColor rgb="FFDDEBF7"/>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center" vertical="bottom"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5" fontId="14" fillId="4"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center" vertical="center" textRotation="0" wrapText="false" indent="0" shrinkToFit="false"/>
      <protection locked="true" hidden="false"/>
    </xf>
    <xf numFmtId="164" fontId="16" fillId="5" borderId="0"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5" fontId="17"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center" vertical="bottom" textRotation="0" wrapText="true" indent="0" shrinkToFit="false"/>
      <protection locked="true" hidden="false"/>
    </xf>
    <xf numFmtId="164" fontId="17" fillId="0" borderId="1" xfId="0" applyFont="true" applyBorder="true" applyAlignment="true" applyProtection="false">
      <alignment horizontal="center" vertical="bottom" textRotation="0" wrapText="true" indent="0" shrinkToFit="false"/>
      <protection locked="true" hidden="false"/>
    </xf>
    <xf numFmtId="165" fontId="17" fillId="0" borderId="1" xfId="0" applyFont="true" applyBorder="true" applyAlignment="true" applyProtection="false">
      <alignment horizontal="center" vertical="bottom" textRotation="0" wrapText="tru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16" fillId="3" borderId="0" xfId="0" applyFont="true" applyBorder="true" applyAlignment="true" applyProtection="false">
      <alignment horizontal="center" vertical="center" textRotation="0" wrapText="true" indent="0" shrinkToFit="false"/>
      <protection locked="true" hidden="false"/>
    </xf>
    <xf numFmtId="164" fontId="16" fillId="6" borderId="0" xfId="0" applyFont="true" applyBorder="true" applyAlignment="true" applyProtection="false">
      <alignment horizontal="center" vertical="center" textRotation="0" wrapText="true" indent="0" shrinkToFit="false"/>
      <protection locked="true" hidden="false"/>
    </xf>
    <xf numFmtId="164" fontId="16" fillId="5" borderId="0" xfId="0" applyFont="true" applyBorder="true" applyAlignment="true" applyProtection="false">
      <alignment horizontal="center" vertical="center" textRotation="0" wrapText="true" indent="0" shrinkToFit="false"/>
      <protection locked="true" hidden="false"/>
    </xf>
    <xf numFmtId="164" fontId="16" fillId="5" borderId="0" xfId="0" applyFont="true" applyBorder="false" applyAlignment="true" applyProtection="false">
      <alignment horizontal="center" vertical="center" textRotation="0" wrapText="true" indent="0" shrinkToFit="false"/>
      <protection locked="true" hidden="false"/>
    </xf>
    <xf numFmtId="164" fontId="16" fillId="6" borderId="0" xfId="0" applyFont="true" applyBorder="false" applyAlignment="true" applyProtection="false">
      <alignment horizontal="center" vertical="center" textRotation="0" wrapText="tru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general" vertical="top" textRotation="0" wrapText="true" indent="0" shrinkToFit="false"/>
      <protection locked="true" hidden="false"/>
    </xf>
    <xf numFmtId="165" fontId="17" fillId="0" borderId="2"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23" fillId="0" borderId="2" xfId="0" applyFont="true" applyBorder="true" applyAlignment="true" applyProtection="false">
      <alignment horizontal="center" vertical="center" textRotation="0" wrapText="true" indent="0" shrinkToFit="false"/>
      <protection locked="true" hidden="false"/>
    </xf>
    <xf numFmtId="164" fontId="23" fillId="0" borderId="2" xfId="0" applyFont="true" applyBorder="true" applyAlignment="true" applyProtection="false">
      <alignment horizontal="general" vertical="top" textRotation="0" wrapText="true" indent="0" shrinkToFit="false"/>
      <protection locked="true" hidden="false"/>
    </xf>
    <xf numFmtId="165" fontId="23" fillId="0" borderId="2"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10" fillId="0" borderId="3" xfId="0" applyFont="true" applyBorder="true" applyAlignment="false" applyProtection="false">
      <alignment horizontal="general" vertical="bottom" textRotation="0" wrapText="false" indent="0" shrinkToFit="false"/>
      <protection locked="true" hidden="false"/>
    </xf>
    <xf numFmtId="164" fontId="25" fillId="0" borderId="3" xfId="0" applyFont="true" applyBorder="true" applyAlignment="true" applyProtection="false">
      <alignment horizontal="general" vertical="bottom" textRotation="0" wrapText="true" indent="0" shrinkToFit="false"/>
      <protection locked="true" hidden="false"/>
    </xf>
    <xf numFmtId="164" fontId="25" fillId="2" borderId="3" xfId="0" applyFont="true" applyBorder="true" applyAlignment="true" applyProtection="false">
      <alignment horizontal="general" vertical="bottom" textRotation="0" wrapText="true" indent="0" shrinkToFit="false"/>
      <protection locked="true" hidden="false"/>
    </xf>
    <xf numFmtId="166" fontId="25" fillId="0" borderId="3" xfId="0" applyFont="true" applyBorder="true" applyAlignment="true" applyProtection="false">
      <alignment horizontal="general" vertical="bottom" textRotation="0" wrapText="true" indent="0" shrinkToFit="false"/>
      <protection locked="true" hidden="false"/>
    </xf>
    <xf numFmtId="164" fontId="26"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5" fontId="25" fillId="0" borderId="0" xfId="0" applyFont="true" applyBorder="false" applyAlignment="false" applyProtection="false">
      <alignment horizontal="general" vertical="bottom" textRotation="0" wrapText="false" indent="0" shrinkToFit="false"/>
      <protection locked="true" hidden="false"/>
    </xf>
    <xf numFmtId="164" fontId="2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26" fillId="3" borderId="0" xfId="0" applyFont="true" applyBorder="false" applyAlignment="true" applyProtection="false">
      <alignment horizontal="center" vertical="center" textRotation="0" wrapText="false" indent="0" shrinkToFit="false"/>
      <protection locked="true" hidden="false"/>
    </xf>
    <xf numFmtId="164" fontId="25" fillId="7" borderId="1" xfId="0" applyFont="true" applyBorder="true" applyAlignment="false" applyProtection="false">
      <alignment horizontal="general" vertical="bottom" textRotation="0" wrapText="false" indent="0" shrinkToFit="false"/>
      <protection locked="true" hidden="false"/>
    </xf>
    <xf numFmtId="164" fontId="25" fillId="7" borderId="1" xfId="0" applyFont="true" applyBorder="true" applyAlignment="true" applyProtection="false">
      <alignment horizontal="general" vertical="center" textRotation="0" wrapText="true" indent="0" shrinkToFit="false"/>
      <protection locked="true" hidden="false"/>
    </xf>
    <xf numFmtId="167" fontId="25" fillId="7" borderId="1" xfId="0" applyFont="true" applyBorder="true" applyAlignment="true" applyProtection="false">
      <alignment horizontal="center" vertical="center" textRotation="0" wrapText="false" indent="0" shrinkToFit="false"/>
      <protection locked="true" hidden="false"/>
    </xf>
    <xf numFmtId="164" fontId="25" fillId="8" borderId="1" xfId="0" applyFont="true" applyBorder="true" applyAlignment="false" applyProtection="false">
      <alignment horizontal="general" vertical="bottom" textRotation="0" wrapText="false" indent="0" shrinkToFit="false"/>
      <protection locked="true" hidden="false"/>
    </xf>
    <xf numFmtId="164" fontId="25" fillId="8" borderId="1" xfId="0" applyFont="true" applyBorder="true" applyAlignment="true" applyProtection="false">
      <alignment horizontal="general" vertical="center" textRotation="0" wrapText="true" indent="0" shrinkToFit="false"/>
      <protection locked="true" hidden="false"/>
    </xf>
    <xf numFmtId="167" fontId="25" fillId="8" borderId="1" xfId="0" applyFont="true" applyBorder="true" applyAlignment="true" applyProtection="false">
      <alignment horizontal="center" vertical="center" textRotation="0" wrapText="false" indent="0" shrinkToFit="false"/>
      <protection locked="true" hidden="false"/>
    </xf>
    <xf numFmtId="164" fontId="25" fillId="9" borderId="1" xfId="0" applyFont="true" applyBorder="true" applyAlignment="false" applyProtection="false">
      <alignment horizontal="general" vertical="bottom" textRotation="0" wrapText="false" indent="0" shrinkToFit="false"/>
      <protection locked="true" hidden="false"/>
    </xf>
    <xf numFmtId="164" fontId="25" fillId="9" borderId="1" xfId="0" applyFont="true" applyBorder="true" applyAlignment="true" applyProtection="false">
      <alignment horizontal="general" vertical="center" textRotation="0" wrapText="true" indent="0" shrinkToFit="false"/>
      <protection locked="true" hidden="false"/>
    </xf>
    <xf numFmtId="167" fontId="25" fillId="9" borderId="1"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F8696B"/>
        </patternFill>
      </fill>
    </dxf>
    <dxf>
      <fill>
        <patternFill>
          <bgColor rgb="FFC00000"/>
        </patternFill>
      </fill>
    </dxf>
    <dxf>
      <fill>
        <patternFill>
          <bgColor rgb="FFFFEB84"/>
        </patternFill>
      </fill>
    </dxf>
    <dxf>
      <fill>
        <patternFill>
          <bgColor rgb="FFA9D18E"/>
        </patternFill>
      </fill>
    </dxf>
    <dxf>
      <fill>
        <patternFill>
          <bgColor rgb="FF63BE7B"/>
        </patternFill>
      </fill>
    </dxf>
    <dxf>
      <fill>
        <patternFill>
          <bgColor rgb="FFD9D9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A6A6A6"/>
      <rgbColor rgb="FF7030A0"/>
      <rgbColor rgb="FFFFF2CC"/>
      <rgbColor rgb="FFDDEBF7"/>
      <rgbColor rgb="FF660066"/>
      <rgbColor rgb="FFF8696B"/>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EB84"/>
      <rgbColor rgb="FFB7B7B7"/>
      <rgbColor rgb="FFFF99CC"/>
      <rgbColor rgb="FFCC99FF"/>
      <rgbColor rgb="FFA9D18E"/>
      <rgbColor rgb="FF2E75B6"/>
      <rgbColor rgb="FF63BE7B"/>
      <rgbColor rgb="FF99CC00"/>
      <rgbColor rgb="FFFFCC00"/>
      <rgbColor rgb="FFFF9900"/>
      <rgbColor rgb="FFFF6600"/>
      <rgbColor rgb="FF595959"/>
      <rgbColor rgb="FF878787"/>
      <rgbColor rgb="FF1F3864"/>
      <rgbColor rgb="FF4A7EB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Tren Skor Vendor Terpilih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circle"/>
            <c:size val="6"/>
            <c:spPr>
              <a:solidFill>
                <a:srgbClr val="4a7eb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DASHBOARD!$A$12:$A$21</c:f>
              <c:strCache>
                <c:ptCount val="10"/>
                <c:pt idx="0">
                  <c:v>2024 Q1</c:v>
                </c:pt>
                <c:pt idx="1">
                  <c:v>2024 Q2</c:v>
                </c:pt>
                <c:pt idx="2">
                  <c:v>2024 Q3</c:v>
                </c:pt>
                <c:pt idx="3">
                  <c:v>2024 Q4</c:v>
                </c:pt>
                <c:pt idx="4">
                  <c:v>2025 Q1</c:v>
                </c:pt>
                <c:pt idx="5">
                  <c:v>2025 Q2</c:v>
                </c:pt>
                <c:pt idx="6">
                  <c:v>2025 Q3</c:v>
                </c:pt>
                <c:pt idx="7">
                  <c:v>2025 Q4</c:v>
                </c:pt>
                <c:pt idx="8">
                  <c:v>2026 Q1</c:v>
                </c:pt>
                <c:pt idx="9">
                  <c:v>2026 Q2</c:v>
                </c:pt>
              </c:strCache>
            </c:strRef>
          </c:cat>
          <c:val>
            <c:numRef>
              <c:f>DASHBOARD!$I$12:$I$21</c:f>
              <c:numCache>
                <c:formatCode>0.00</c:formatCode>
                <c:ptCount val="10"/>
                <c:pt idx="0">
                  <c:v>3</c:v>
                </c:pt>
                <c:pt idx="1">
                  <c:v>3</c:v>
                </c:pt>
                <c:pt idx="2">
                  <c:v>2.95</c:v>
                </c:pt>
                <c:pt idx="3">
                  <c:v>3</c:v>
                </c:pt>
                <c:pt idx="4">
                  <c:v>2.345</c:v>
                </c:pt>
                <c:pt idx="5">
                  <c:v>1.99</c:v>
                </c:pt>
                <c:pt idx="6">
                  <c:v>2.72</c:v>
                </c:pt>
                <c:pt idx="7">
                  <c:v>2.9825</c:v>
                </c:pt>
                <c:pt idx="8">
                  <c:v>3.31842105263158</c:v>
                </c:pt>
                <c:pt idx="9">
                  <c:v>3.43947368421053</c:v>
                </c:pt>
              </c:numCache>
            </c:numRef>
          </c:val>
          <c:smooth val="0"/>
        </c:ser>
        <c:hiLowLines>
          <c:spPr>
            <a:ln w="0">
              <a:noFill/>
            </a:ln>
          </c:spPr>
        </c:hiLowLines>
        <c:marker val="1"/>
        <c:axId val="85632764"/>
        <c:axId val="29705919"/>
      </c:lineChart>
      <c:catAx>
        <c:axId val="8563276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Periode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705919"/>
        <c:crosses val="autoZero"/>
        <c:auto val="1"/>
        <c:lblAlgn val="ctr"/>
        <c:lblOffset val="100"/>
        <c:noMultiLvlLbl val="0"/>
      </c:catAx>
      <c:valAx>
        <c:axId val="297059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Skor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63276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4</xdr:row>
      <xdr:rowOff>131040</xdr:rowOff>
    </xdr:from>
    <xdr:to>
      <xdr:col>19</xdr:col>
      <xdr:colOff>4320</xdr:colOff>
      <xdr:row>13</xdr:row>
      <xdr:rowOff>353880</xdr:rowOff>
    </xdr:to>
    <xdr:graphicFrame>
      <xdr:nvGraphicFramePr>
        <xdr:cNvPr id="0" name="Chart 1"/>
        <xdr:cNvGraphicFramePr/>
      </xdr:nvGraphicFramePr>
      <xdr:xfrm>
        <a:off x="10667880" y="95256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9.7" hidden="false" customHeight="false" outlineLevel="0" collapsed="false">
      <c r="A1" s="1" t="s">
        <v>0</v>
      </c>
    </row>
    <row r="2" customFormat="false" ht="15" hidden="false" customHeight="false" outlineLevel="0" collapsed="false">
      <c r="A2" s="2" t="s">
        <v>1</v>
      </c>
    </row>
    <row r="4" customFormat="false" ht="27.75" hidden="false" customHeight="true" outlineLevel="0" collapsed="false">
      <c r="A4" s="3"/>
    </row>
    <row r="5" customFormat="false" ht="27.75" hidden="false" customHeight="true" outlineLevel="0" collapsed="false">
      <c r="A5" s="4" t="s">
        <v>2</v>
      </c>
    </row>
    <row r="6" customFormat="false" ht="27.75" hidden="false" customHeight="true" outlineLevel="0" collapsed="false">
      <c r="A6" s="3" t="s">
        <v>3</v>
      </c>
    </row>
    <row r="7" customFormat="false" ht="27.75" hidden="false" customHeight="true" outlineLevel="0" collapsed="false">
      <c r="A7" s="3" t="s">
        <v>4</v>
      </c>
    </row>
    <row r="8" customFormat="false" ht="27.75" hidden="false" customHeight="true" outlineLevel="0" collapsed="false">
      <c r="A8" s="3" t="s">
        <v>5</v>
      </c>
    </row>
    <row r="9" customFormat="false" ht="27.75" hidden="false" customHeight="true" outlineLevel="0" collapsed="false">
      <c r="A9" s="3" t="s">
        <v>6</v>
      </c>
    </row>
    <row r="10" customFormat="false" ht="27.75" hidden="false" customHeight="true" outlineLevel="0" collapsed="false">
      <c r="A10" s="3" t="s">
        <v>7</v>
      </c>
    </row>
    <row r="11" customFormat="false" ht="27.75" hidden="false" customHeight="true" outlineLevel="0" collapsed="false">
      <c r="A11" s="3" t="s">
        <v>8</v>
      </c>
    </row>
    <row r="12" customFormat="false" ht="27.75" hidden="false" customHeight="true" outlineLevel="0" collapsed="false">
      <c r="A12" s="3"/>
    </row>
    <row r="13" customFormat="false" ht="27.75" hidden="false" customHeight="true" outlineLevel="0" collapsed="false">
      <c r="A13" s="4" t="s">
        <v>9</v>
      </c>
    </row>
    <row r="14" customFormat="false" ht="27.75" hidden="false" customHeight="true" outlineLevel="0" collapsed="false">
      <c r="A14" s="3" t="s">
        <v>10</v>
      </c>
    </row>
    <row r="15" customFormat="false" ht="27.75" hidden="false" customHeight="true" outlineLevel="0" collapsed="false">
      <c r="A15" s="3"/>
    </row>
    <row r="16" customFormat="false" ht="27.75" hidden="false" customHeight="true" outlineLevel="0" collapsed="false">
      <c r="A16" s="4" t="s">
        <v>11</v>
      </c>
    </row>
    <row r="17" customFormat="false" ht="27.75" hidden="false" customHeight="true" outlineLevel="0" collapsed="false">
      <c r="A17" s="3" t="s">
        <v>12</v>
      </c>
    </row>
    <row r="18" customFormat="false" ht="27.75" hidden="false" customHeight="true" outlineLevel="0" collapsed="false">
      <c r="A18" s="3" t="s">
        <v>13</v>
      </c>
    </row>
    <row r="19" customFormat="false" ht="27.75" hidden="false" customHeight="true" outlineLevel="0" collapsed="false">
      <c r="A19" s="3" t="s">
        <v>14</v>
      </c>
    </row>
    <row r="20" customFormat="false" ht="27.75" hidden="false" customHeight="true" outlineLevel="0" collapsed="false">
      <c r="A20" s="3"/>
    </row>
    <row r="21" customFormat="false" ht="27.75" hidden="false" customHeight="true" outlineLevel="0" collapsed="false">
      <c r="A21" s="5" t="s">
        <v>15</v>
      </c>
    </row>
    <row r="22" customFormat="false" ht="27.75" hidden="false" customHeight="true" outlineLevel="0" collapsed="false">
      <c r="A22" s="3" t="s">
        <v>16</v>
      </c>
    </row>
    <row r="23" customFormat="false" ht="27.75" hidden="false" customHeight="true" outlineLevel="0" collapsed="false">
      <c r="A23" s="3" t="s">
        <v>17</v>
      </c>
    </row>
    <row r="24" customFormat="false" ht="27.75" hidden="false" customHeight="true" outlineLevel="0" collapsed="false">
      <c r="A24" s="3" t="s">
        <v>18</v>
      </c>
    </row>
    <row r="25" customFormat="false" ht="27.75" hidden="false" customHeight="true" outlineLevel="0" collapsed="false">
      <c r="A25" s="3" t="s">
        <v>19</v>
      </c>
    </row>
    <row r="26" customFormat="false" ht="27.75" hidden="false" customHeight="true" outlineLevel="0" collapsed="false">
      <c r="A26" s="3" t="s">
        <v>20</v>
      </c>
    </row>
    <row r="27" customFormat="false" ht="27.75" hidden="false" customHeight="true" outlineLevel="0" collapsed="false">
      <c r="A27" s="3"/>
    </row>
    <row r="28" customFormat="false" ht="27.75" hidden="false" customHeight="true" outlineLevel="0" collapsed="false">
      <c r="A28" s="4" t="s">
        <v>21</v>
      </c>
    </row>
    <row r="29" customFormat="false" ht="27.75" hidden="false" customHeight="true" outlineLevel="0" collapsed="false">
      <c r="A29" s="3"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30"/>
    <col collapsed="false" customWidth="true" hidden="false" outlineLevel="0" max="7" min="4" style="0" width="16"/>
  </cols>
  <sheetData>
    <row r="1" customFormat="false" ht="19.7" hidden="false" customHeight="false" outlineLevel="0" collapsed="false">
      <c r="A1" s="6" t="s">
        <v>23</v>
      </c>
      <c r="B1" s="6"/>
      <c r="C1" s="6"/>
      <c r="D1" s="6"/>
      <c r="E1" s="6"/>
      <c r="F1" s="6"/>
      <c r="G1" s="6"/>
      <c r="H1" s="6"/>
    </row>
    <row r="3" customFormat="false" ht="15" hidden="false" customHeight="false" outlineLevel="0" collapsed="false">
      <c r="A3" s="7" t="s">
        <v>24</v>
      </c>
      <c r="B3" s="7"/>
      <c r="C3" s="8" t="s">
        <v>25</v>
      </c>
      <c r="D3" s="8"/>
      <c r="E3" s="8"/>
      <c r="F3" s="8"/>
      <c r="J3" s="9" t="s">
        <v>26</v>
      </c>
    </row>
    <row r="4" customFormat="false" ht="15" hidden="false" customHeight="false" outlineLevel="0" collapsed="false">
      <c r="A4" s="10" t="s">
        <v>27</v>
      </c>
      <c r="B4" s="10"/>
      <c r="C4" s="10"/>
      <c r="D4" s="10"/>
      <c r="E4" s="10"/>
      <c r="F4" s="10"/>
      <c r="J4" s="9" t="n">
        <f aca="false">IFERROR(MATCH($C$3,HISTORICAL!$AF$7:$AF$28,0)+6,"")</f>
        <v>7</v>
      </c>
    </row>
    <row r="6" customFormat="false" ht="15" hidden="false" customHeight="false" outlineLevel="0" collapsed="false">
      <c r="A6" s="11" t="s">
        <v>28</v>
      </c>
      <c r="B6" s="11" t="s">
        <v>29</v>
      </c>
      <c r="C6" s="11" t="s">
        <v>30</v>
      </c>
      <c r="D6" s="11" t="s">
        <v>31</v>
      </c>
      <c r="E6" s="11" t="s">
        <v>32</v>
      </c>
      <c r="F6" s="11" t="s">
        <v>33</v>
      </c>
      <c r="G6" s="11" t="s">
        <v>34</v>
      </c>
    </row>
    <row r="7" customFormat="false" ht="45" hidden="false" customHeight="true" outlineLevel="0" collapsed="false">
      <c r="A7" s="12" t="str">
        <f aca="false">IF($J$4="","",INDEX(HISTORICAL!B:B,$J$4))</f>
        <v>INDOSAT</v>
      </c>
      <c r="B7" s="12" t="str">
        <f aca="false">IF($J$4="","",INDEX(HISTORICAL!C:C,$J$4))</f>
        <v>LAYANAN PBX BERBASISKAN CLOUD DENGAN TEKNOLOGI SIP TRUNK</v>
      </c>
      <c r="C7" s="12" t="str">
        <f aca="false">IF($J$4="","",IFERROR(INDEX(HISTORICAL!AG:AG,$J$4),"-"))</f>
        <v>Nuril HUDHA</v>
      </c>
      <c r="D7" s="13" t="n">
        <f aca="false">IF($J$4="","",INDEX(HISTORICAL!AC:AC,$J$4))</f>
        <v>3.43947368421053</v>
      </c>
      <c r="E7" s="12" t="str">
        <f aca="false">IF($J$4="","",INDEX(HISTORICAL!AE:AE,$J$4))</f>
        <v>Meet Expectation</v>
      </c>
      <c r="F7" s="13" t="n">
        <f aca="false">IF($J$4="","",INDEX(HISTORICAL!Z:Z,$J$4))</f>
        <v>3.31842105263158</v>
      </c>
      <c r="G7" s="12" t="str">
        <f aca="false">IF($J$4="","",IF(OR(NOT(ISNUMBER(D7)),NOT(ISNUMBER(F7))),"n/a",IF(D7&gt;F7,"▲ Naik "&amp;TEXT(D7-F7,"0.00"),IF(D7&lt;F7,"▼ Turun "&amp;TEXT(F7-D7,"0.00"),"— Stabil"))))</f>
        <v>▲ Naik 0.12</v>
      </c>
    </row>
    <row r="10" customFormat="false" ht="15" hidden="false" customHeight="false" outlineLevel="0" collapsed="false">
      <c r="A10" s="14" t="s">
        <v>35</v>
      </c>
      <c r="B10" s="14"/>
      <c r="C10" s="14"/>
      <c r="D10" s="14"/>
      <c r="E10" s="14"/>
      <c r="F10" s="14"/>
      <c r="G10" s="14"/>
      <c r="H10" s="14"/>
    </row>
    <row r="11" customFormat="false" ht="15" hidden="false" customHeight="false" outlineLevel="0" collapsed="false">
      <c r="A11" s="15" t="s">
        <v>36</v>
      </c>
      <c r="B11" s="15" t="s">
        <v>37</v>
      </c>
      <c r="C11" s="15" t="s">
        <v>38</v>
      </c>
      <c r="D11" s="16" t="s">
        <v>39</v>
      </c>
      <c r="E11" s="16"/>
      <c r="F11" s="16"/>
      <c r="G11" s="16"/>
      <c r="H11" s="16"/>
      <c r="I11" s="9" t="s">
        <v>40</v>
      </c>
    </row>
    <row r="12" customFormat="false" ht="30" hidden="false" customHeight="true" outlineLevel="0" collapsed="false">
      <c r="A12" s="17" t="s">
        <v>41</v>
      </c>
      <c r="B12" s="18" t="n">
        <f aca="false">IF($J$4="","",IF(OR(INDEX(HISTORICAL!D:D,$J$4)="N/A",INDEX(HISTORICAL!D:D,$J$4)=0),"-",INDEX(HISTORICAL!D:D,$J$4)))</f>
        <v>3</v>
      </c>
      <c r="C12" s="17" t="str">
        <f aca="false">IF($J$4="","",IF(INDEX(HISTORICAL!E:E,$J$4)="","-",INDEX(HISTORICAL!E:E,$J$4)))</f>
        <v>Meet Expectation</v>
      </c>
      <c r="D12" s="19" t="str">
        <f aca="false">"(tidak ada data comment terpisah untuk periode ini)"</f>
        <v>(tidak ada data comment terpisah untuk periode ini)</v>
      </c>
      <c r="E12" s="19"/>
      <c r="F12" s="19"/>
      <c r="G12" s="19"/>
      <c r="H12" s="19"/>
      <c r="I12" s="20" t="n">
        <f aca="false">IFERROR(IF(B12="-",NA(),B12),NA())</f>
        <v>3</v>
      </c>
    </row>
    <row r="13" customFormat="false" ht="30" hidden="false" customHeight="true" outlineLevel="0" collapsed="false">
      <c r="A13" s="17" t="s">
        <v>42</v>
      </c>
      <c r="B13" s="18" t="n">
        <f aca="false">IF($J$4="","",IF(OR(INDEX(HISTORICAL!F:F,$J$4)="N/A",INDEX(HISTORICAL!F:F,$J$4)=0),"-",INDEX(HISTORICAL!F:F,$J$4)))</f>
        <v>3</v>
      </c>
      <c r="C13" s="17" t="str">
        <f aca="false">IF($J$4="","",IF(INDEX(HISTORICAL!G:G,$J$4)="","-",INDEX(HISTORICAL!G:G,$J$4)))</f>
        <v>Meet Expectation</v>
      </c>
      <c r="D13" s="19" t="str">
        <f aca="false">"(tidak ada data comment terpisah untuk periode ini)"</f>
        <v>(tidak ada data comment terpisah untuk periode ini)</v>
      </c>
      <c r="E13" s="19"/>
      <c r="F13" s="19"/>
      <c r="G13" s="19"/>
      <c r="H13" s="19"/>
      <c r="I13" s="20" t="n">
        <f aca="false">IFERROR(IF(B13="-",NA(),B13),NA())</f>
        <v>3</v>
      </c>
    </row>
    <row r="14" customFormat="false" ht="30" hidden="false" customHeight="true" outlineLevel="0" collapsed="false">
      <c r="A14" s="17" t="s">
        <v>43</v>
      </c>
      <c r="B14" s="18" t="n">
        <f aca="false">IF($J$4="","",IF(OR(INDEX(HISTORICAL!H:H,$J$4)="N/A",INDEX(HISTORICAL!H:H,$J$4)=0),"-",INDEX(HISTORICAL!H:H,$J$4)))</f>
        <v>2.95</v>
      </c>
      <c r="C14" s="17" t="str">
        <f aca="false">IF($J$4="","",IF(INDEX(HISTORICAL!I:I,$J$4)="","-",INDEX(HISTORICAL!I:I,$J$4)))</f>
        <v>Below Expectation</v>
      </c>
      <c r="D14" s="19" t="str">
        <f aca="false">"(tidak ada data comment terpisah untuk periode ini)"</f>
        <v>(tidak ada data comment terpisah untuk periode ini)</v>
      </c>
      <c r="E14" s="19"/>
      <c r="F14" s="19"/>
      <c r="G14" s="19"/>
      <c r="H14" s="19"/>
      <c r="I14" s="20" t="n">
        <f aca="false">IFERROR(IF(B14="-",NA(),B14),NA())</f>
        <v>2.95</v>
      </c>
    </row>
    <row r="15" customFormat="false" ht="30" hidden="false" customHeight="true" outlineLevel="0" collapsed="false">
      <c r="A15" s="17" t="s">
        <v>44</v>
      </c>
      <c r="B15" s="18" t="n">
        <f aca="false">IF($J$4="","",IF(OR(INDEX(HISTORICAL!J:J,$J$4)="N/A",INDEX(HISTORICAL!J:J,$J$4)=0),"-",INDEX(HISTORICAL!J:J,$J$4)))</f>
        <v>3</v>
      </c>
      <c r="C15" s="17" t="str">
        <f aca="false">IF($J$4="","",IF(INDEX(HISTORICAL!K:K,$J$4)="","-",INDEX(HISTORICAL!K:K,$J$4)))</f>
        <v>Meet Expectation</v>
      </c>
      <c r="D15" s="19" t="str">
        <f aca="false">"(tidak ada data comment terpisah untuk periode ini)"</f>
        <v>(tidak ada data comment terpisah untuk periode ini)</v>
      </c>
      <c r="E15" s="19"/>
      <c r="F15" s="19"/>
      <c r="G15" s="19"/>
      <c r="H15" s="19"/>
      <c r="I15" s="20" t="n">
        <f aca="false">IFERROR(IF(B15="-",NA(),B15),NA())</f>
        <v>3</v>
      </c>
    </row>
    <row r="16" customFormat="false" ht="30" hidden="false" customHeight="true" outlineLevel="0" collapsed="false">
      <c r="A16" s="17" t="s">
        <v>45</v>
      </c>
      <c r="B16" s="18" t="n">
        <f aca="false">IF($J$4="","",IF(OR(INDEX(HISTORICAL!L:L,$J$4)="N/A",INDEX(HISTORICAL!L:L,$J$4)=0),"-",INDEX(HISTORICAL!L:L,$J$4)))</f>
        <v>2.345</v>
      </c>
      <c r="C16" s="17" t="str">
        <f aca="false">IF($J$4="","",IF(INDEX(HISTORICAL!N:N,$J$4)="","-",INDEX(HISTORICAL!N:N,$J$4)))</f>
        <v>Below Expectation</v>
      </c>
      <c r="D16" s="19" t="str">
        <f aca="false">IF($J$4="","",IF(INDEX(HISTORICAL!M:M,$J$4)="","-",INDEX(HISTORICAL!M:M,$J$4)))</f>
        <v>Need improvement for the part of fair and to be  more responsive to solve issues.</v>
      </c>
      <c r="E16" s="19"/>
      <c r="F16" s="19"/>
      <c r="G16" s="19"/>
      <c r="H16" s="19"/>
      <c r="I16" s="20" t="n">
        <f aca="false">IFERROR(IF(B16="-",NA(),B16),NA())</f>
        <v>2.345</v>
      </c>
    </row>
    <row r="17" customFormat="false" ht="30" hidden="false" customHeight="true" outlineLevel="0" collapsed="false">
      <c r="A17" s="17" t="s">
        <v>46</v>
      </c>
      <c r="B17" s="18" t="n">
        <f aca="false">IF($J$4="","",IF(OR(INDEX(HISTORICAL!O:O,$J$4)="N/A",INDEX(HISTORICAL!O:O,$J$4)=0),"-",INDEX(HISTORICAL!O:O,$J$4)))</f>
        <v>1.99</v>
      </c>
      <c r="C17" s="17" t="str">
        <f aca="false">IF($J$4="","",IF(INDEX(HISTORICAL!Q:Q,$J$4)="","-",INDEX(HISTORICAL!Q:Q,$J$4)))</f>
        <v>Below Expectation</v>
      </c>
      <c r="D17" s="19" t="str">
        <f aca="false">IF($J$4="","",IF(INDEX(HISTORICAL!P:P,$J$4)="","-",INDEX(HISTORICAL!P:P,$J$4)))</f>
        <v>1. Dashboard access to required user
2. Response time to be improved as promised
3. To be more proactive in update the progress
4. To provide regular report (usage, recording, etc)</v>
      </c>
      <c r="E17" s="19"/>
      <c r="F17" s="19"/>
      <c r="G17" s="19"/>
      <c r="H17" s="19"/>
      <c r="I17" s="20" t="n">
        <f aca="false">IFERROR(IF(B17="-",NA(),B17),NA())</f>
        <v>1.99</v>
      </c>
    </row>
    <row r="18" customFormat="false" ht="30" hidden="false" customHeight="true" outlineLevel="0" collapsed="false">
      <c r="A18" s="17" t="s">
        <v>47</v>
      </c>
      <c r="B18" s="18" t="n">
        <f aca="false">IF($J$4="","",IF(OR(INDEX(HISTORICAL!R:R,$J$4)="N/A",INDEX(HISTORICAL!R:R,$J$4)=0),"-",INDEX(HISTORICAL!R:R,$J$4)))</f>
        <v>2.72</v>
      </c>
      <c r="C18" s="17" t="str">
        <f aca="false">IF($J$4="","",IF(INDEX(HISTORICAL!T:T,$J$4)="","-",INDEX(HISTORICAL!T:T,$J$4)))</f>
        <v>Below Expectation</v>
      </c>
      <c r="D18" s="19" t="str">
        <f aca="false">IF($J$4="","",IF(INDEX(HISTORICAL!S:S,$J$4)="","-",INDEX(HISTORICAL!S:S,$J$4)))</f>
        <v>improve responsiveness when there is problem appear, and more proactive ask client follow up for the re-solution work or not after fixing. have plan maintenance and communicated earlier to client so client can aware about maintenance process.</v>
      </c>
      <c r="E18" s="19"/>
      <c r="F18" s="19"/>
      <c r="G18" s="19"/>
      <c r="H18" s="19"/>
      <c r="I18" s="20" t="n">
        <f aca="false">IFERROR(IF(B18="-",NA(),B18),NA())</f>
        <v>2.72</v>
      </c>
    </row>
    <row r="19" customFormat="false" ht="30" hidden="false" customHeight="true" outlineLevel="0" collapsed="false">
      <c r="A19" s="17" t="s">
        <v>48</v>
      </c>
      <c r="B19" s="18" t="n">
        <f aca="false">IF($J$4="","",IF(OR(INDEX(HISTORICAL!W:W,$J$4)="N/A",INDEX(HISTORICAL!W:W,$J$4)=0),"-",INDEX(HISTORICAL!W:W,$J$4)))</f>
        <v>2.9825</v>
      </c>
      <c r="C19" s="17" t="str">
        <f aca="false">IF($J$4="","",IF(INDEX(HISTORICAL!Y:Y,$J$4)="","-",INDEX(HISTORICAL!Y:Y,$J$4)))</f>
        <v>BELOW EXPECTATION</v>
      </c>
      <c r="D19" s="19" t="str">
        <f aca="false">IF($J$4="","",IF(INDEX(HISTORICAL!X:X,$J$4)="","-",INDEX(HISTORICAL!X:X,$J$4)))</f>
        <v>PLEASE KINDLY IMPROVE REQUIRED REPORT DELIVERY AS AGREED WITH ANALYZED DATA FOR BUSINESS CONSIDERATION.</v>
      </c>
      <c r="E19" s="19"/>
      <c r="F19" s="19"/>
      <c r="G19" s="19"/>
      <c r="H19" s="19"/>
      <c r="I19" s="20" t="n">
        <f aca="false">IFERROR(IF(B19="-",NA(),B19),NA())</f>
        <v>2.9825</v>
      </c>
    </row>
    <row r="20" customFormat="false" ht="30" hidden="false" customHeight="true" outlineLevel="0" collapsed="false">
      <c r="A20" s="17" t="s">
        <v>49</v>
      </c>
      <c r="B20" s="18" t="n">
        <f aca="false">IF($J$4="","",IF(OR(INDEX(HISTORICAL!Z:Z,$J$4)="N/A",INDEX(HISTORICAL!Z:Z,$J$4)=0),"-",INDEX(HISTORICAL!Z:Z,$J$4)))</f>
        <v>3.31842105263158</v>
      </c>
      <c r="C20" s="17" t="str">
        <f aca="false">IF($J$4="","",IF(INDEX(HISTORICAL!AB:AB,$J$4)="","-",INDEX(HISTORICAL!AB:AB,$J$4)))</f>
        <v>MEET EXPECTATION</v>
      </c>
      <c r="D20" s="19" t="str">
        <f aca="false">IF($J$4="","",IF(INDEX(HISTORICAL!AA:AA,$J$4)="","-",INDEX(HISTORICAL!AA:AA,$J$4)))</f>
        <v>The performance is getting better, please keep improve the performance.</v>
      </c>
      <c r="E20" s="19"/>
      <c r="F20" s="19"/>
      <c r="G20" s="19"/>
      <c r="H20" s="19"/>
      <c r="I20" s="20" t="n">
        <f aca="false">IFERROR(IF(B20="-",NA(),B20),NA())</f>
        <v>3.31842105263158</v>
      </c>
    </row>
    <row r="21" customFormat="false" ht="30" hidden="false" customHeight="true" outlineLevel="0" collapsed="false">
      <c r="A21" s="17" t="s">
        <v>50</v>
      </c>
      <c r="B21" s="18" t="n">
        <f aca="false">IF($J$4="","",IF(OR(INDEX(HISTORICAL!AC:AC,$J$4)="N/A",INDEX(HISTORICAL!AC:AC,$J$4)=0),"-",INDEX(HISTORICAL!AC:AC,$J$4)))</f>
        <v>3.43947368421053</v>
      </c>
      <c r="C21" s="17" t="str">
        <f aca="false">IF($J$4="","",IF(INDEX(HISTORICAL!AE:AE,$J$4)="","-",INDEX(HISTORICAL!AE:AE,$J$4)))</f>
        <v>Meet Expectation</v>
      </c>
      <c r="D21" s="19" t="str">
        <f aca="false">IF($J$4="","",IF(INDEX(HISTORICAL!AD:AD,$J$4)="","-",INDEX(HISTORICAL!AD:AD,$J$4)))</f>
        <v>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v>
      </c>
      <c r="E21" s="19"/>
      <c r="F21" s="19"/>
      <c r="G21" s="19"/>
      <c r="H21" s="19"/>
      <c r="I21" s="20" t="n">
        <f aca="false">IFERROR(IF(B21="-",NA(),B21),NA())</f>
        <v>3.43947368421053</v>
      </c>
    </row>
    <row r="24" customFormat="false" ht="15" hidden="false" customHeight="false" outlineLevel="0" collapsed="false">
      <c r="A24" s="14" t="s">
        <v>51</v>
      </c>
      <c r="B24" s="14"/>
      <c r="C24" s="14"/>
      <c r="D24" s="14"/>
      <c r="E24" s="14"/>
      <c r="F24" s="14"/>
      <c r="G24" s="14"/>
      <c r="H24" s="14"/>
    </row>
    <row r="25" customFormat="false" ht="15" hidden="false" customHeight="false" outlineLevel="0" collapsed="false">
      <c r="A25" s="21" t="s">
        <v>52</v>
      </c>
      <c r="B25" s="21" t="s">
        <v>28</v>
      </c>
      <c r="C25" s="21" t="s">
        <v>29</v>
      </c>
      <c r="D25" s="21" t="s">
        <v>33</v>
      </c>
      <c r="E25" s="21" t="s">
        <v>31</v>
      </c>
      <c r="F25" s="21" t="s">
        <v>53</v>
      </c>
      <c r="G25" s="21" t="s">
        <v>54</v>
      </c>
    </row>
    <row r="26" customFormat="false" ht="32.8" hidden="false" customHeight="false" outlineLevel="0" collapsed="false">
      <c r="A26" s="22" t="n">
        <v>1</v>
      </c>
      <c r="B26" s="19" t="str">
        <f aca="false">HISTORICAL!B7</f>
        <v>INDOSAT</v>
      </c>
      <c r="C26" s="19" t="str">
        <f aca="false">HISTORICAL!C7</f>
        <v>LAYANAN PBX BERBASISKAN CLOUD DENGAN TEKNOLOGI SIP TRUNK</v>
      </c>
      <c r="D26" s="23" t="n">
        <f aca="false">IF(OR(HISTORICAL!Z7="N/A",HISTORICAL!Z7=0),"-",HISTORICAL!Z7)</f>
        <v>3.31842105263158</v>
      </c>
      <c r="E26" s="23" t="n">
        <f aca="false">IF(HISTORICAL!AC7="N/A","-",HISTORICAL!AC7)</f>
        <v>3.43947368421053</v>
      </c>
      <c r="F26" s="22" t="str">
        <f aca="false">IF(HISTORICAL!AE7&lt;&gt;"N/A",HISTORICAL!AE7,IF(HISTORICAL!AB7&lt;&gt;"N/A",HISTORICAL!AB7,"N/A"))</f>
        <v>Meet Expectation</v>
      </c>
      <c r="G26" s="22" t="str">
        <f aca="false">IF(OR(NOT(ISNUMBER(D26)),NOT(ISNUMBER(E26))),"-",IF(E26&gt;D26,"▲",IF(E26&lt;D26,"▼","—")))</f>
        <v>▲</v>
      </c>
    </row>
    <row r="27" customFormat="false" ht="32.8" hidden="false" customHeight="false" outlineLevel="0" collapsed="false">
      <c r="A27" s="22" t="n">
        <v>2</v>
      </c>
      <c r="B27" s="19" t="str">
        <f aca="false">HISTORICAL!B8</f>
        <v>INFORMASI TEKNOLOGI INDONESIA</v>
      </c>
      <c r="C27" s="19" t="str">
        <f aca="false">HISTORICAL!C8</f>
        <v>PENYEDIAAN JASA SMS BROADCAST DAN JASA SMS PULL; CONNECTIVITY PRIMARY LINK</v>
      </c>
      <c r="D27" s="23" t="n">
        <f aca="false">IF(OR(HISTORICAL!Z8="N/A",HISTORICAL!Z8=0),"-",HISTORICAL!Z8)</f>
        <v>3</v>
      </c>
      <c r="E27" s="23" t="n">
        <f aca="false">IF(HISTORICAL!AC8="N/A","-",HISTORICAL!AC8)</f>
        <v>3</v>
      </c>
      <c r="F27" s="22" t="str">
        <f aca="false">IF(HISTORICAL!AE8&lt;&gt;"N/A",HISTORICAL!AE8,IF(HISTORICAL!AB8&lt;&gt;"N/A",HISTORICAL!AB8,"N/A"))</f>
        <v>Meet Expectation</v>
      </c>
      <c r="G27" s="22" t="str">
        <f aca="false">IF(OR(NOT(ISNUMBER(D27)),NOT(ISNUMBER(E27))),"-",IF(E27&gt;D27,"▲",IF(E27&lt;D27,"▼","—")))</f>
        <v>—</v>
      </c>
    </row>
    <row r="28" customFormat="false" ht="22.35" hidden="false" customHeight="false" outlineLevel="0" collapsed="false">
      <c r="A28" s="22" t="n">
        <v>3</v>
      </c>
      <c r="B28" s="19" t="str">
        <f aca="false">HISTORICAL!B9</f>
        <v>MITRA INTEGRASI INFORMATIKA</v>
      </c>
      <c r="C28" s="19" t="str">
        <f aca="false">HISTORICAL!C9</f>
        <v>SFDC MAINTENANCE</v>
      </c>
      <c r="D28" s="23" t="n">
        <f aca="false">IF(OR(HISTORICAL!Z9="N/A",HISTORICAL!Z9=0),"-",HISTORICAL!Z9)</f>
        <v>4.82948717948718</v>
      </c>
      <c r="E28" s="23" t="n">
        <f aca="false">IF(HISTORICAL!AC9="N/A","-",HISTORICAL!AC9)</f>
        <v>4.74871794871795</v>
      </c>
      <c r="F28" s="22" t="str">
        <f aca="false">IF(HISTORICAL!AE9&lt;&gt;"N/A",HISTORICAL!AE9,IF(HISTORICAL!AB9&lt;&gt;"N/A",HISTORICAL!AB9,"N/A"))</f>
        <v>Exceed Expectation</v>
      </c>
      <c r="G28" s="22" t="str">
        <f aca="false">IF(OR(NOT(ISNUMBER(D28)),NOT(ISNUMBER(E28))),"-",IF(E28&gt;D28,"▲",IF(E28&lt;D28,"▼","—")))</f>
        <v>▼</v>
      </c>
    </row>
    <row r="29" customFormat="false" ht="22.35" hidden="false" customHeight="false" outlineLevel="0" collapsed="false">
      <c r="A29" s="22" t="n">
        <v>4</v>
      </c>
      <c r="B29" s="19" t="str">
        <f aca="false">HISTORICAL!B10</f>
        <v>MULTIFILING MITRA INDONESIA</v>
      </c>
      <c r="C29" s="19" t="str">
        <f aca="false">HISTORICAL!C10</f>
        <v>RECORD MANAGEMENT SERVICE</v>
      </c>
      <c r="D29" s="23" t="n">
        <f aca="false">IF(OR(HISTORICAL!Z10="N/A",HISTORICAL!Z10=0),"-",HISTORICAL!Z10)</f>
        <v>3.03181818181818</v>
      </c>
      <c r="E29" s="23" t="n">
        <f aca="false">IF(HISTORICAL!AC10="N/A","-",HISTORICAL!AC10)</f>
        <v>3</v>
      </c>
      <c r="F29" s="22" t="str">
        <f aca="false">IF(HISTORICAL!AE10&lt;&gt;"N/A",HISTORICAL!AE10,IF(HISTORICAL!AB10&lt;&gt;"N/A",HISTORICAL!AB10,"N/A"))</f>
        <v>Meet Expectation</v>
      </c>
      <c r="G29" s="22" t="str">
        <f aca="false">IF(OR(NOT(ISNUMBER(D29)),NOT(ISNUMBER(E29))),"-",IF(E29&gt;D29,"▲",IF(E29&lt;D29,"▼","—")))</f>
        <v>▼</v>
      </c>
    </row>
    <row r="30" customFormat="false" ht="32.8" hidden="false" customHeight="false" outlineLevel="0" collapsed="false">
      <c r="A30" s="22" t="n">
        <v>5</v>
      </c>
      <c r="B30" s="19" t="str">
        <f aca="false">HISTORICAL!B11</f>
        <v>CIPTADRA SOFTINDO</v>
      </c>
      <c r="C30" s="19" t="str">
        <f aca="false">HISTORICAL!C11</f>
        <v>PEMELIHARAAN PERANGKAT LUNAK AXITS  DAN PERANGKAT LUNAK DMTM</v>
      </c>
      <c r="D30" s="23" t="n">
        <f aca="false">IF(OR(HISTORICAL!Z11="N/A",HISTORICAL!Z11=0),"-",HISTORICAL!Z11)</f>
        <v>4</v>
      </c>
      <c r="E30" s="23" t="n">
        <f aca="false">IF(HISTORICAL!AC11="N/A","-",HISTORICAL!AC11)</f>
        <v>4.3</v>
      </c>
      <c r="F30" s="22" t="str">
        <f aca="false">IF(HISTORICAL!AE11&lt;&gt;"N/A",HISTORICAL!AE11,IF(HISTORICAL!AB11&lt;&gt;"N/A",HISTORICAL!AB11,"N/A"))</f>
        <v>Exceed Expectation</v>
      </c>
      <c r="G30" s="22" t="str">
        <f aca="false">IF(OR(NOT(ISNUMBER(D30)),NOT(ISNUMBER(E30))),"-",IF(E30&gt;D30,"▲",IF(E30&lt;D30,"▼","—")))</f>
        <v>▲</v>
      </c>
    </row>
    <row r="31" customFormat="false" ht="22.35" hidden="false" customHeight="false" outlineLevel="0" collapsed="false">
      <c r="A31" s="22" t="n">
        <v>6</v>
      </c>
      <c r="B31" s="19" t="str">
        <f aca="false">HISTORICAL!B12</f>
        <v>INMOTION INOVASI TEKNOLOGI</v>
      </c>
      <c r="C31" s="19" t="str">
        <f aca="false">HISTORICAL!C12</f>
        <v>JASA APLIKASI CHATBOT DAN LIVE CHAT</v>
      </c>
      <c r="D31" s="23" t="n">
        <f aca="false">IF(OR(HISTORICAL!Z12="N/A",HISTORICAL!Z12=0),"-",HISTORICAL!Z12)</f>
        <v>4</v>
      </c>
      <c r="E31" s="23" t="n">
        <f aca="false">IF(HISTORICAL!AC12="N/A","-",HISTORICAL!AC12)</f>
        <v>4</v>
      </c>
      <c r="F31" s="22" t="str">
        <f aca="false">IF(HISTORICAL!AE12&lt;&gt;"N/A",HISTORICAL!AE12,IF(HISTORICAL!AB12&lt;&gt;"N/A",HISTORICAL!AB12,"N/A"))</f>
        <v>Exceed Expectation</v>
      </c>
      <c r="G31" s="22" t="str">
        <f aca="false">IF(OR(NOT(ISNUMBER(D31)),NOT(ISNUMBER(E31))),"-",IF(E31&gt;D31,"▲",IF(E31&lt;D31,"▼","—")))</f>
        <v>—</v>
      </c>
    </row>
    <row r="32" customFormat="false" ht="22.35" hidden="false" customHeight="false" outlineLevel="0" collapsed="false">
      <c r="A32" s="22" t="n">
        <v>7</v>
      </c>
      <c r="B32" s="19" t="str">
        <f aca="false">HISTORICAL!B13</f>
        <v>SATRIA ANTARAN PRIMA TBK</v>
      </c>
      <c r="C32" s="19" t="str">
        <f aca="false">HISTORICAL!C13</f>
        <v>PENGIRIMAN POLIS DOKUMEN DAN PAKET DALAM NEGERI</v>
      </c>
      <c r="D32" s="23" t="n">
        <f aca="false">IF(OR(HISTORICAL!Z13="N/A",HISTORICAL!Z13=0),"-",HISTORICAL!Z13)</f>
        <v>3</v>
      </c>
      <c r="E32" s="23" t="n">
        <f aca="false">IF(HISTORICAL!AC13="N/A","-",HISTORICAL!AC13)</f>
        <v>3.23833333333333</v>
      </c>
      <c r="F32" s="22" t="str">
        <f aca="false">IF(HISTORICAL!AE13&lt;&gt;"N/A",HISTORICAL!AE13,IF(HISTORICAL!AB13&lt;&gt;"N/A",HISTORICAL!AB13,"N/A"))</f>
        <v>Meet Expectation</v>
      </c>
      <c r="G32" s="22" t="str">
        <f aca="false">IF(OR(NOT(ISNUMBER(D32)),NOT(ISNUMBER(E32))),"-",IF(E32&gt;D32,"▲",IF(E32&lt;D32,"▼","—")))</f>
        <v>▲</v>
      </c>
    </row>
    <row r="33" customFormat="false" ht="22.35" hidden="false" customHeight="false" outlineLevel="0" collapsed="false">
      <c r="A33" s="22" t="n">
        <v>8</v>
      </c>
      <c r="B33" s="19" t="str">
        <f aca="false">HISTORICAL!B14</f>
        <v>SATRIA ANTARAN PRIMA TBK</v>
      </c>
      <c r="C33" s="19" t="str">
        <f aca="false">HISTORICAL!C14</f>
        <v>MAILING ROOM</v>
      </c>
      <c r="D33" s="23" t="n">
        <f aca="false">IF(OR(HISTORICAL!Z14="N/A",HISTORICAL!Z14=0),"-",HISTORICAL!Z14)</f>
        <v>3.40416666666667</v>
      </c>
      <c r="E33" s="23" t="n">
        <f aca="false">IF(HISTORICAL!AC14="N/A","-",HISTORICAL!AC14)</f>
        <v>3.04375</v>
      </c>
      <c r="F33" s="22" t="str">
        <f aca="false">IF(HISTORICAL!AE14&lt;&gt;"N/A",HISTORICAL!AE14,IF(HISTORICAL!AB14&lt;&gt;"N/A",HISTORICAL!AB14,"N/A"))</f>
        <v>Meet Expectation</v>
      </c>
      <c r="G33" s="22" t="str">
        <f aca="false">IF(OR(NOT(ISNUMBER(D33)),NOT(ISNUMBER(E33))),"-",IF(E33&gt;D33,"▲",IF(E33&lt;D33,"▼","—")))</f>
        <v>▼</v>
      </c>
    </row>
    <row r="34" customFormat="false" ht="22.35" hidden="false" customHeight="false" outlineLevel="0" collapsed="false">
      <c r="A34" s="22" t="n">
        <v>9</v>
      </c>
      <c r="B34" s="19" t="str">
        <f aca="false">HISTORICAL!B15</f>
        <v>TARGET SUKSES SINERGI</v>
      </c>
      <c r="C34" s="19" t="str">
        <f aca="false">HISTORICAL!C15</f>
        <v>PENGIRIMAN EMAIL MARKETING AUTOMATION</v>
      </c>
      <c r="D34" s="23" t="n">
        <f aca="false">IF(OR(HISTORICAL!Z15="N/A",HISTORICAL!Z15=0),"-",HISTORICAL!Z15)</f>
        <v>3.9</v>
      </c>
      <c r="E34" s="23" t="n">
        <f aca="false">IF(HISTORICAL!AC15="N/A","-",HISTORICAL!AC15)</f>
        <v>2.94166666666667</v>
      </c>
      <c r="F34" s="22" t="str">
        <f aca="false">IF(HISTORICAL!AE15&lt;&gt;"N/A",HISTORICAL!AE15,IF(HISTORICAL!AB15&lt;&gt;"N/A",HISTORICAL!AB15,"N/A"))</f>
        <v>Below Expectation</v>
      </c>
      <c r="G34" s="22" t="str">
        <f aca="false">IF(OR(NOT(ISNUMBER(D34)),NOT(ISNUMBER(E34))),"-",IF(E34&gt;D34,"▲",IF(E34&lt;D34,"▼","—")))</f>
        <v>▼</v>
      </c>
    </row>
    <row r="35" customFormat="false" ht="22.35" hidden="false" customHeight="false" outlineLevel="0" collapsed="false">
      <c r="A35" s="22" t="n">
        <v>10</v>
      </c>
      <c r="B35" s="19" t="str">
        <f aca="false">HISTORICAL!B16</f>
        <v>WIZ TECHNOLOGY INDONESIA</v>
      </c>
      <c r="C35" s="19" t="str">
        <f aca="false">HISTORICAL!C16</f>
        <v>VOICE BOT REMINDER CALL</v>
      </c>
      <c r="D35" s="23" t="str">
        <f aca="false">IF(OR(HISTORICAL!Z16="N/A",HISTORICAL!Z16=0),"-",HISTORICAL!Z16)</f>
        <v>-</v>
      </c>
      <c r="E35" s="23" t="n">
        <f aca="false">IF(HISTORICAL!AC16="N/A","-",HISTORICAL!AC16)</f>
        <v>3.0875</v>
      </c>
      <c r="F35" s="22" t="str">
        <f aca="false">IF(HISTORICAL!AE16&lt;&gt;"N/A",HISTORICAL!AE16,IF(HISTORICAL!AB16&lt;&gt;"N/A",HISTORICAL!AB16,"N/A"))</f>
        <v>Meet Expectation</v>
      </c>
      <c r="G35" s="22" t="str">
        <f aca="false">IF(OR(NOT(ISNUMBER(D35)),NOT(ISNUMBER(E35))),"-",IF(E35&gt;D35,"▲",IF(E35&lt;D35,"▼","—")))</f>
        <v>-</v>
      </c>
    </row>
    <row r="36" customFormat="false" ht="22.35" hidden="false" customHeight="false" outlineLevel="0" collapsed="false">
      <c r="A36" s="22" t="n">
        <v>11</v>
      </c>
      <c r="B36" s="19" t="str">
        <f aca="false">HISTORICAL!B17</f>
        <v>KARYAPUTRA SURYAGEMILANG</v>
      </c>
      <c r="C36" s="19" t="str">
        <f aca="false">HISTORICAL!C17</f>
        <v>TELEMARKETING REVAMP PROJECT</v>
      </c>
      <c r="D36" s="23" t="n">
        <f aca="false">IF(OR(HISTORICAL!Z17="N/A",HISTORICAL!Z17=0),"-",HISTORICAL!Z17)</f>
        <v>3.03181818181818</v>
      </c>
      <c r="E36" s="23" t="n">
        <f aca="false">IF(HISTORICAL!AC17="N/A","-",HISTORICAL!AC17)</f>
        <v>3.53939393939394</v>
      </c>
      <c r="F36" s="22" t="str">
        <f aca="false">IF(HISTORICAL!AE17&lt;&gt;"N/A",HISTORICAL!AE17,IF(HISTORICAL!AB17&lt;&gt;"N/A",HISTORICAL!AB17,"N/A"))</f>
        <v>Meet Expectation</v>
      </c>
      <c r="G36" s="22" t="str">
        <f aca="false">IF(OR(NOT(ISNUMBER(D36)),NOT(ISNUMBER(E36))),"-",IF(E36&gt;D36,"▲",IF(E36&lt;D36,"▼","—")))</f>
        <v>▲</v>
      </c>
    </row>
    <row r="37" customFormat="false" ht="15" hidden="false" customHeight="false" outlineLevel="0" collapsed="false">
      <c r="A37" s="22" t="n">
        <v>12</v>
      </c>
      <c r="B37" s="19" t="str">
        <f aca="false">HISTORICAL!B18</f>
        <v>ARAH SEJAHTERA ABADI</v>
      </c>
      <c r="C37" s="19" t="str">
        <f aca="false">HISTORICAL!C18</f>
        <v>PERJANJIAN SEWA MENYEWA</v>
      </c>
      <c r="D37" s="23" t="n">
        <f aca="false">IF(OR(HISTORICAL!Z18="N/A",HISTORICAL!Z18=0),"-",HISTORICAL!Z18)</f>
        <v>2.96111111111111</v>
      </c>
      <c r="E37" s="23" t="str">
        <f aca="false">IF(HISTORICAL!AC18="N/A","-",HISTORICAL!AC18)</f>
        <v>-</v>
      </c>
      <c r="F37" s="22" t="str">
        <f aca="false">IF(HISTORICAL!AE18&lt;&gt;"N/A",HISTORICAL!AE18,IF(HISTORICAL!AB18&lt;&gt;"N/A",HISTORICAL!AB18,"N/A"))</f>
        <v>Tidak Dievaluasi Q2</v>
      </c>
      <c r="G37" s="22" t="str">
        <f aca="false">IF(OR(NOT(ISNUMBER(D37)),NOT(ISNUMBER(E37))),"-",IF(E37&gt;D37,"▲",IF(E37&lt;D37,"▼","—")))</f>
        <v>-</v>
      </c>
    </row>
    <row r="38" customFormat="false" ht="32.8" hidden="false" customHeight="false" outlineLevel="0" collapsed="false">
      <c r="A38" s="22" t="n">
        <v>13</v>
      </c>
      <c r="B38" s="19" t="str">
        <f aca="false">HISTORICAL!B19</f>
        <v>DELOITTE CONSULTING</v>
      </c>
      <c r="C38" s="19" t="str">
        <f aca="false">HISTORICAL!C19</f>
        <v>DATA PRIVACY TOOLS &amp; PELATIHAN PERSONAL DATA PROTECTION (PDP)</v>
      </c>
      <c r="D38" s="23" t="n">
        <f aca="false">IF(OR(HISTORICAL!Z19="N/A",HISTORICAL!Z19=0),"-",HISTORICAL!Z19)</f>
        <v>3.16363636363636</v>
      </c>
      <c r="E38" s="23" t="n">
        <f aca="false">IF(HISTORICAL!AC19="N/A","-",HISTORICAL!AC19)</f>
        <v>4.06363636363636</v>
      </c>
      <c r="F38" s="22" t="str">
        <f aca="false">IF(HISTORICAL!AE19&lt;&gt;"N/A",HISTORICAL!AE19,IF(HISTORICAL!AB19&lt;&gt;"N/A",HISTORICAL!AB19,"N/A"))</f>
        <v>Exceed Expectation</v>
      </c>
      <c r="G38" s="22" t="str">
        <f aca="false">IF(OR(NOT(ISNUMBER(D38)),NOT(ISNUMBER(E38))),"-",IF(E38&gt;D38,"▲",IF(E38&lt;D38,"▼","—")))</f>
        <v>▲</v>
      </c>
    </row>
    <row r="39" customFormat="false" ht="22.35" hidden="false" customHeight="false" outlineLevel="0" collapsed="false">
      <c r="A39" s="22" t="n">
        <v>14</v>
      </c>
      <c r="B39" s="19" t="str">
        <f aca="false">HISTORICAL!B20</f>
        <v>SUTRA MANAGEMENT CONSULTANCIES</v>
      </c>
      <c r="C39" s="19" t="str">
        <f aca="false">HISTORICAL!C20</f>
        <v>IMPLEMENTASI SAS IFRS17</v>
      </c>
      <c r="D39" s="23" t="n">
        <f aca="false">IF(OR(HISTORICAL!Z20="N/A",HISTORICAL!Z20=0),"-",HISTORICAL!Z20)</f>
        <v>3.68333333333333</v>
      </c>
      <c r="E39" s="23" t="n">
        <f aca="false">IF(HISTORICAL!AC20="N/A","-",HISTORICAL!AC20)</f>
        <v>3.33333333333333</v>
      </c>
      <c r="F39" s="22" t="str">
        <f aca="false">IF(HISTORICAL!AE20&lt;&gt;"N/A",HISTORICAL!AE20,IF(HISTORICAL!AB20&lt;&gt;"N/A",HISTORICAL!AB20,"N/A"))</f>
        <v>Meet Expectation</v>
      </c>
      <c r="G39" s="22" t="str">
        <f aca="false">IF(OR(NOT(ISNUMBER(D39)),NOT(ISNUMBER(E39))),"-",IF(E39&gt;D39,"▲",IF(E39&lt;D39,"▼","—")))</f>
        <v>▼</v>
      </c>
    </row>
    <row r="40" customFormat="false" ht="15" hidden="false" customHeight="false" outlineLevel="0" collapsed="false">
      <c r="A40" s="22" t="n">
        <v>15</v>
      </c>
      <c r="B40" s="19" t="str">
        <f aca="false">HISTORICAL!B21</f>
        <v>TMF INDONESIA</v>
      </c>
      <c r="C40" s="19" t="str">
        <f aca="false">HISTORICAL!C21</f>
        <v>PAYROLL</v>
      </c>
      <c r="D40" s="23" t="n">
        <f aca="false">IF(OR(HISTORICAL!Z21="N/A",HISTORICAL!Z21=0),"-",HISTORICAL!Z21)</f>
        <v>3</v>
      </c>
      <c r="E40" s="23" t="n">
        <f aca="false">IF(HISTORICAL!AC21="N/A","-",HISTORICAL!AC21)</f>
        <v>3</v>
      </c>
      <c r="F40" s="22" t="str">
        <f aca="false">IF(HISTORICAL!AE21&lt;&gt;"N/A",HISTORICAL!AE21,IF(HISTORICAL!AB21&lt;&gt;"N/A",HISTORICAL!AB21,"N/A"))</f>
        <v>Meet Expectation</v>
      </c>
      <c r="G40" s="22" t="str">
        <f aca="false">IF(OR(NOT(ISNUMBER(D40)),NOT(ISNUMBER(E40))),"-",IF(E40&gt;D40,"▲",IF(E40&lt;D40,"▼","—")))</f>
        <v>—</v>
      </c>
    </row>
    <row r="41" customFormat="false" ht="22.35" hidden="false" customHeight="false" outlineLevel="0" collapsed="false">
      <c r="A41" s="22" t="n">
        <v>16</v>
      </c>
      <c r="B41" s="19" t="str">
        <f aca="false">HISTORICAL!B22</f>
        <v>REYCOM DOCUMENT SOLUTION</v>
      </c>
      <c r="C41" s="19" t="str">
        <f aca="false">HISTORICAL!C22</f>
        <v>PRINTING &amp; DMC</v>
      </c>
      <c r="D41" s="23" t="n">
        <f aca="false">IF(OR(HISTORICAL!Z22="N/A",HISTORICAL!Z22=0),"-",HISTORICAL!Z22)</f>
        <v>4.76666666666667</v>
      </c>
      <c r="E41" s="23" t="n">
        <f aca="false">IF(HISTORICAL!AC22="N/A","-",HISTORICAL!AC22)</f>
        <v>4.3</v>
      </c>
      <c r="F41" s="22" t="str">
        <f aca="false">IF(HISTORICAL!AE22&lt;&gt;"N/A",HISTORICAL!AE22,IF(HISTORICAL!AB22&lt;&gt;"N/A",HISTORICAL!AB22,"N/A"))</f>
        <v>Exceed Expectation</v>
      </c>
      <c r="G41" s="22" t="str">
        <f aca="false">IF(OR(NOT(ISNUMBER(D41)),NOT(ISNUMBER(E41))),"-",IF(E41&gt;D41,"▲",IF(E41&lt;D41,"▼","—")))</f>
        <v>▼</v>
      </c>
    </row>
    <row r="42" customFormat="false" ht="22.35" hidden="false" customHeight="false" outlineLevel="0" collapsed="false">
      <c r="A42" s="22" t="n">
        <v>17</v>
      </c>
      <c r="B42" s="19" t="str">
        <f aca="false">HISTORICAL!B23</f>
        <v>FPT METRODATA INDONESIA</v>
      </c>
      <c r="C42" s="19" t="str">
        <f aca="false">HISTORICAL!C23</f>
        <v>PENETRATION TEST</v>
      </c>
      <c r="D42" s="23" t="n">
        <f aca="false">IF(OR(HISTORICAL!Z23="N/A",HISTORICAL!Z23=0),"-",HISTORICAL!Z23)</f>
        <v>3</v>
      </c>
      <c r="E42" s="23" t="n">
        <f aca="false">IF(HISTORICAL!AC23="N/A","-",HISTORICAL!AC23)</f>
        <v>4</v>
      </c>
      <c r="F42" s="22" t="str">
        <f aca="false">IF(HISTORICAL!AE23&lt;&gt;"N/A",HISTORICAL!AE23,IF(HISTORICAL!AB23&lt;&gt;"N/A",HISTORICAL!AB23,"N/A"))</f>
        <v>Exceed Expectation</v>
      </c>
      <c r="G42" s="22" t="str">
        <f aca="false">IF(OR(NOT(ISNUMBER(D42)),NOT(ISNUMBER(E42))),"-",IF(E42&gt;D42,"▲",IF(E42&lt;D42,"▼","—")))</f>
        <v>▲</v>
      </c>
    </row>
    <row r="43" customFormat="false" ht="15" hidden="false" customHeight="false" outlineLevel="0" collapsed="false">
      <c r="A43" s="22" t="n">
        <v>18</v>
      </c>
      <c r="B43" s="19" t="str">
        <f aca="false">HISTORICAL!B24</f>
        <v>IPROTEKSI TELEMATIKA</v>
      </c>
      <c r="C43" s="19" t="str">
        <f aca="false">HISTORICAL!C24</f>
        <v>PENETRATION TEST</v>
      </c>
      <c r="D43" s="23" t="n">
        <f aca="false">IF(OR(HISTORICAL!Z24="N/A",HISTORICAL!Z24=0),"-",HISTORICAL!Z24)</f>
        <v>4</v>
      </c>
      <c r="E43" s="23" t="n">
        <f aca="false">IF(HISTORICAL!AC24="N/A","-",HISTORICAL!AC24)</f>
        <v>4</v>
      </c>
      <c r="F43" s="22" t="str">
        <f aca="false">IF(HISTORICAL!AE24&lt;&gt;"N/A",HISTORICAL!AE24,IF(HISTORICAL!AB24&lt;&gt;"N/A",HISTORICAL!AB24,"N/A"))</f>
        <v>Exceed Expectation</v>
      </c>
      <c r="G43" s="22" t="str">
        <f aca="false">IF(OR(NOT(ISNUMBER(D43)),NOT(ISNUMBER(E43))),"-",IF(E43&gt;D43,"▲",IF(E43&lt;D43,"▼","—")))</f>
        <v>—</v>
      </c>
    </row>
    <row r="44" customFormat="false" ht="15" hidden="false" customHeight="false" outlineLevel="0" collapsed="false">
      <c r="A44" s="22" t="n">
        <v>19</v>
      </c>
      <c r="B44" s="19" t="str">
        <f aca="false">HISTORICAL!B25</f>
        <v>ITSEC ASIA</v>
      </c>
      <c r="C44" s="19" t="str">
        <f aca="false">HISTORICAL!C25</f>
        <v>PENETRATION TEST</v>
      </c>
      <c r="D44" s="23" t="n">
        <f aca="false">IF(OR(HISTORICAL!Z25="N/A",HISTORICAL!Z25=0),"-",HISTORICAL!Z25)</f>
        <v>3</v>
      </c>
      <c r="E44" s="23" t="n">
        <f aca="false">IF(HISTORICAL!AC25="N/A","-",HISTORICAL!AC25)</f>
        <v>3</v>
      </c>
      <c r="F44" s="22" t="str">
        <f aca="false">IF(HISTORICAL!AE25&lt;&gt;"N/A",HISTORICAL!AE25,IF(HISTORICAL!AB25&lt;&gt;"N/A",HISTORICAL!AB25,"N/A"))</f>
        <v>Meet Expectation</v>
      </c>
      <c r="G44" s="22" t="str">
        <f aca="false">IF(OR(NOT(ISNUMBER(D44)),NOT(ISNUMBER(E44))),"-",IF(E44&gt;D44,"▲",IF(E44&lt;D44,"▼","—")))</f>
        <v>—</v>
      </c>
    </row>
    <row r="45" customFormat="false" ht="15" hidden="false" customHeight="false" outlineLevel="0" collapsed="false">
      <c r="A45" s="22" t="n">
        <v>20</v>
      </c>
      <c r="B45" s="19" t="str">
        <f aca="false">HISTORICAL!B26</f>
        <v>Karyaputra Suryagemilang</v>
      </c>
      <c r="C45" s="19" t="str">
        <f aca="false">HISTORICAL!C26</f>
        <v>Purecloud Decommisioning</v>
      </c>
      <c r="D45" s="23" t="str">
        <f aca="false">IF(OR(HISTORICAL!Z26="N/A",HISTORICAL!Z26=0),"-",HISTORICAL!Z26)</f>
        <v>-</v>
      </c>
      <c r="E45" s="23" t="n">
        <f aca="false">IF(HISTORICAL!AC26="N/A","-",HISTORICAL!AC26)</f>
        <v>3.44583333333333</v>
      </c>
      <c r="F45" s="22" t="str">
        <f aca="false">IF(HISTORICAL!AE26&lt;&gt;"N/A",HISTORICAL!AE26,IF(HISTORICAL!AB26&lt;&gt;"N/A",HISTORICAL!AB26,"N/A"))</f>
        <v>Meet Expectation</v>
      </c>
      <c r="G45" s="22" t="str">
        <f aca="false">IF(OR(NOT(ISNUMBER(D45)),NOT(ISNUMBER(E45))),"-",IF(E45&gt;D45,"▲",IF(E45&lt;D45,"▼","—")))</f>
        <v>-</v>
      </c>
    </row>
    <row r="46" customFormat="false" ht="15" hidden="false" customHeight="false" outlineLevel="0" collapsed="false">
      <c r="A46" s="22" t="n">
        <v>21</v>
      </c>
      <c r="B46" s="19" t="str">
        <f aca="false">HISTORICAL!B27</f>
        <v>Mitra Integrasi Informatika</v>
      </c>
      <c r="C46" s="19" t="str">
        <f aca="false">HISTORICAL!C27</f>
        <v>Purecloud Decommisioning</v>
      </c>
      <c r="D46" s="23" t="str">
        <f aca="false">IF(OR(HISTORICAL!Z27="N/A",HISTORICAL!Z27=0),"-",HISTORICAL!Z27)</f>
        <v>-</v>
      </c>
      <c r="E46" s="23" t="n">
        <f aca="false">IF(HISTORICAL!AC27="N/A","-",HISTORICAL!AC27)</f>
        <v>3.88333333333333</v>
      </c>
      <c r="F46" s="22" t="str">
        <f aca="false">IF(HISTORICAL!AE27&lt;&gt;"N/A",HISTORICAL!AE27,IF(HISTORICAL!AB27&lt;&gt;"N/A",HISTORICAL!AB27,"N/A"))</f>
        <v>Meet Expectation</v>
      </c>
      <c r="G46" s="22" t="str">
        <f aca="false">IF(OR(NOT(ISNUMBER(D46)),NOT(ISNUMBER(E46))),"-",IF(E46&gt;D46,"▲",IF(E46&lt;D46,"▼","—")))</f>
        <v>-</v>
      </c>
    </row>
    <row r="47" customFormat="false" ht="15" hidden="false" customHeight="false" outlineLevel="0" collapsed="false">
      <c r="A47" s="22" t="n">
        <v>22</v>
      </c>
      <c r="B47" s="19" t="str">
        <f aca="false">HISTORICAL!B28</f>
        <v>ESHAEL Indonesia</v>
      </c>
      <c r="C47" s="19" t="str">
        <f aca="false">HISTORICAL!C28</f>
        <v>Talent Assesment</v>
      </c>
      <c r="D47" s="23" t="str">
        <f aca="false">IF(OR(HISTORICAL!Z28="N/A",HISTORICAL!Z28=0),"-",HISTORICAL!Z28)</f>
        <v>-</v>
      </c>
      <c r="E47" s="23" t="n">
        <f aca="false">IF(HISTORICAL!AC28="N/A","-",HISTORICAL!AC28)</f>
        <v>4.60833333333333</v>
      </c>
      <c r="F47" s="22" t="str">
        <f aca="false">IF(HISTORICAL!AE28&lt;&gt;"N/A",HISTORICAL!AE28,IF(HISTORICAL!AB28&lt;&gt;"N/A",HISTORICAL!AB28,"N/A"))</f>
        <v>Exceed Expectation</v>
      </c>
      <c r="G47" s="22" t="str">
        <f aca="false">IF(OR(NOT(ISNUMBER(D47)),NOT(ISNUMBER(E47))),"-",IF(E47&gt;D47,"▲",IF(E47&lt;D47,"▼","—")))</f>
        <v>-</v>
      </c>
    </row>
  </sheetData>
  <mergeCells count="17">
    <mergeCell ref="A1:H1"/>
    <mergeCell ref="A3:B3"/>
    <mergeCell ref="C3:F3"/>
    <mergeCell ref="A4:F4"/>
    <mergeCell ref="A10:H10"/>
    <mergeCell ref="D11:H11"/>
    <mergeCell ref="D12:H12"/>
    <mergeCell ref="D13:H13"/>
    <mergeCell ref="D14:H14"/>
    <mergeCell ref="D15:H15"/>
    <mergeCell ref="D16:H16"/>
    <mergeCell ref="D17:H17"/>
    <mergeCell ref="D18:H18"/>
    <mergeCell ref="D19:H19"/>
    <mergeCell ref="D20:H20"/>
    <mergeCell ref="D21:H21"/>
    <mergeCell ref="A24:H24"/>
  </mergeCells>
  <conditionalFormatting sqref="E7">
    <cfRule type="cellIs" priority="2" operator="equal" aboveAverage="0" equalAverage="0" bottom="0" percent="0" rank="0" text="" dxfId="0">
      <formula>"Below Expectation"</formula>
    </cfRule>
    <cfRule type="cellIs" priority="3" operator="equal" aboveAverage="0" equalAverage="0" bottom="0" percent="0" rank="0" text="" dxfId="1">
      <formula>"Unsatisfactory"</formula>
    </cfRule>
    <cfRule type="cellIs" priority="4" operator="equal" aboveAverage="0" equalAverage="0" bottom="0" percent="0" rank="0" text="" dxfId="2">
      <formula>"Meet Expectation"</formula>
    </cfRule>
    <cfRule type="cellIs" priority="5" operator="equal" aboveAverage="0" equalAverage="0" bottom="0" percent="0" rank="0" text="" dxfId="3">
      <formula>"Exceed Expectation"</formula>
    </cfRule>
    <cfRule type="cellIs" priority="6" operator="equal" aboveAverage="0" equalAverage="0" bottom="0" percent="0" rank="0" text="" dxfId="4">
      <formula>"Exceptional"</formula>
    </cfRule>
    <cfRule type="cellIs" priority="7" operator="equal" aboveAverage="0" equalAverage="0" bottom="0" percent="0" rank="0" text="" dxfId="5">
      <formula>"N/A"</formula>
    </cfRule>
  </conditionalFormatting>
  <conditionalFormatting sqref="F26:F47">
    <cfRule type="cellIs" priority="8" operator="equal" aboveAverage="0" equalAverage="0" bottom="0" percent="0" rank="0" text="" dxfId="0">
      <formula>"Below Expectation"</formula>
    </cfRule>
    <cfRule type="cellIs" priority="9" operator="equal" aboveAverage="0" equalAverage="0" bottom="0" percent="0" rank="0" text="" dxfId="1">
      <formula>"Unsatisfactory"</formula>
    </cfRule>
    <cfRule type="cellIs" priority="10" operator="equal" aboveAverage="0" equalAverage="0" bottom="0" percent="0" rank="0" text="" dxfId="2">
      <formula>"Meet Expectation"</formula>
    </cfRule>
    <cfRule type="cellIs" priority="11" operator="equal" aboveAverage="0" equalAverage="0" bottom="0" percent="0" rank="0" text="" dxfId="3">
      <formula>"Exceed Expectation"</formula>
    </cfRule>
    <cfRule type="cellIs" priority="12" operator="equal" aboveAverage="0" equalAverage="0" bottom="0" percent="0" rank="0" text="" dxfId="4">
      <formula>"Exceptional"</formula>
    </cfRule>
    <cfRule type="cellIs" priority="13" operator="equal" aboveAverage="0" equalAverage="0" bottom="0" percent="0" rank="0" text="" dxfId="5">
      <formula>"N/A"</formula>
    </cfRule>
    <cfRule type="cellIs" priority="14" operator="equal" aboveAverage="0" equalAverage="0" bottom="0" percent="0" rank="0" text="" dxfId="5">
      <formula>"Tidak Dievaluasi Q2"</formula>
    </cfRule>
  </conditionalFormatting>
  <dataValidations count="1">
    <dataValidation allowBlank="true" errorStyle="stop" operator="between" prompt="Pilih vendor untuk melihat detail performance &amp; historical review" showDropDown="false" showErrorMessage="false" showInputMessage="false" sqref="C3" type="list">
      <formula1>HISTORICAL!$AF$7:$AF$28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6"/>
    <col collapsed="false" customWidth="true" hidden="false" outlineLevel="0" max="12" min="4" style="0" width="9"/>
    <col collapsed="false" customWidth="true" hidden="false" outlineLevel="0" max="13" min="13" style="0" width="24"/>
    <col collapsed="false" customWidth="true" hidden="false" outlineLevel="0" max="15" min="14" style="0" width="9"/>
    <col collapsed="false" customWidth="true" hidden="false" outlineLevel="0" max="16" min="16" style="0" width="24"/>
    <col collapsed="false" customWidth="true" hidden="false" outlineLevel="0" max="18" min="17" style="0" width="9"/>
    <col collapsed="false" customWidth="true" hidden="false" outlineLevel="0" max="19" min="19" style="0" width="24"/>
    <col collapsed="false" customWidth="true" hidden="false" outlineLevel="0" max="20" min="20" style="0" width="9"/>
    <col collapsed="false" customWidth="true" hidden="false" outlineLevel="0" max="21" min="21" style="0" width="10"/>
    <col collapsed="false" customWidth="true" hidden="false" outlineLevel="0" max="22" min="22" style="0" width="26"/>
    <col collapsed="false" customWidth="true" hidden="false" outlineLevel="0" max="23" min="23" style="0" width="9"/>
    <col collapsed="false" customWidth="true" hidden="false" outlineLevel="0" max="24" min="24" style="0" width="26"/>
    <col collapsed="false" customWidth="true" hidden="false" outlineLevel="0" max="26" min="25" style="0" width="9"/>
    <col collapsed="false" customWidth="true" hidden="false" outlineLevel="0" max="27" min="27" style="0" width="26"/>
    <col collapsed="false" customWidth="true" hidden="false" outlineLevel="0" max="29" min="28" style="0" width="9"/>
    <col collapsed="false" customWidth="true" hidden="false" outlineLevel="0" max="30" min="30" style="0" width="26"/>
    <col collapsed="false" customWidth="true" hidden="false" outlineLevel="0" max="31" min="31" style="0" width="9"/>
    <col collapsed="false" customWidth="true" hidden="false" outlineLevel="0" max="32" min="32" style="0" width="45"/>
    <col collapsed="false" customWidth="true" hidden="false" outlineLevel="0" max="33" min="33" style="0" width="24"/>
  </cols>
  <sheetData>
    <row r="1" customFormat="false" ht="16.15" hidden="false" customHeight="false" outlineLevel="0" collapsed="false">
      <c r="A1" s="24" t="s">
        <v>55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row>
    <row r="2" customFormat="false" ht="15" hidden="false" customHeight="false" outlineLevel="0" collapsed="false">
      <c r="A2" s="25" t="s">
        <v>56</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row>
    <row r="4" customFormat="false" ht="15" hidden="false" customHeight="true" outlineLevel="0" collapsed="false">
      <c r="A4" s="26" t="s">
        <v>52</v>
      </c>
      <c r="B4" s="26" t="s">
        <v>28</v>
      </c>
      <c r="C4" s="26" t="s">
        <v>57</v>
      </c>
      <c r="D4" s="26" t="s">
        <v>58</v>
      </c>
      <c r="E4" s="26"/>
      <c r="F4" s="26"/>
      <c r="G4" s="26"/>
      <c r="H4" s="26"/>
      <c r="I4" s="26"/>
      <c r="J4" s="26"/>
      <c r="K4" s="26"/>
      <c r="L4" s="26" t="s">
        <v>59</v>
      </c>
      <c r="M4" s="26"/>
      <c r="N4" s="26"/>
      <c r="O4" s="26"/>
      <c r="P4" s="26"/>
      <c r="Q4" s="26"/>
      <c r="R4" s="26"/>
      <c r="S4" s="26"/>
      <c r="T4" s="26"/>
      <c r="U4" s="26" t="s">
        <v>60</v>
      </c>
      <c r="V4" s="26" t="s">
        <v>61</v>
      </c>
      <c r="W4" s="26" t="s">
        <v>62</v>
      </c>
      <c r="X4" s="26"/>
      <c r="Y4" s="26"/>
      <c r="Z4" s="26"/>
      <c r="AA4" s="26"/>
      <c r="AB4" s="26"/>
      <c r="AC4" s="27" t="s">
        <v>63</v>
      </c>
      <c r="AD4" s="27"/>
      <c r="AE4" s="27"/>
    </row>
    <row r="5" customFormat="false" ht="15" hidden="false" customHeight="true" outlineLevel="0" collapsed="false">
      <c r="A5" s="26"/>
      <c r="B5" s="26"/>
      <c r="C5" s="26"/>
      <c r="D5" s="28" t="s">
        <v>41</v>
      </c>
      <c r="E5" s="28"/>
      <c r="F5" s="28" t="s">
        <v>42</v>
      </c>
      <c r="G5" s="28"/>
      <c r="H5" s="28" t="s">
        <v>43</v>
      </c>
      <c r="I5" s="28"/>
      <c r="J5" s="28" t="s">
        <v>44</v>
      </c>
      <c r="K5" s="28"/>
      <c r="L5" s="28" t="s">
        <v>45</v>
      </c>
      <c r="M5" s="28"/>
      <c r="N5" s="28"/>
      <c r="O5" s="28" t="s">
        <v>46</v>
      </c>
      <c r="P5" s="28"/>
      <c r="Q5" s="28"/>
      <c r="R5" s="28" t="s">
        <v>47</v>
      </c>
      <c r="S5" s="28"/>
      <c r="T5" s="28"/>
      <c r="U5" s="26"/>
      <c r="V5" s="26"/>
      <c r="W5" s="28" t="s">
        <v>48</v>
      </c>
      <c r="X5" s="28"/>
      <c r="Y5" s="28"/>
      <c r="Z5" s="28" t="s">
        <v>49</v>
      </c>
      <c r="AA5" s="28"/>
      <c r="AB5" s="28"/>
      <c r="AC5" s="27" t="s">
        <v>50</v>
      </c>
      <c r="AD5" s="27"/>
      <c r="AE5" s="27"/>
    </row>
    <row r="6" customFormat="false" ht="15" hidden="false" customHeight="false" outlineLevel="0" collapsed="false">
      <c r="A6" s="26"/>
      <c r="B6" s="26"/>
      <c r="C6" s="26"/>
      <c r="D6" s="29" t="s">
        <v>64</v>
      </c>
      <c r="E6" s="29" t="s">
        <v>65</v>
      </c>
      <c r="F6" s="29" t="s">
        <v>64</v>
      </c>
      <c r="G6" s="29" t="s">
        <v>65</v>
      </c>
      <c r="H6" s="29" t="s">
        <v>64</v>
      </c>
      <c r="I6" s="29" t="s">
        <v>65</v>
      </c>
      <c r="J6" s="29" t="s">
        <v>64</v>
      </c>
      <c r="K6" s="29" t="s">
        <v>65</v>
      </c>
      <c r="L6" s="29" t="s">
        <v>64</v>
      </c>
      <c r="M6" s="29" t="s">
        <v>66</v>
      </c>
      <c r="N6" s="29" t="s">
        <v>65</v>
      </c>
      <c r="O6" s="29" t="s">
        <v>64</v>
      </c>
      <c r="P6" s="29" t="s">
        <v>66</v>
      </c>
      <c r="Q6" s="29" t="s">
        <v>65</v>
      </c>
      <c r="R6" s="29" t="s">
        <v>64</v>
      </c>
      <c r="S6" s="29" t="s">
        <v>66</v>
      </c>
      <c r="T6" s="29" t="s">
        <v>65</v>
      </c>
      <c r="U6" s="26"/>
      <c r="V6" s="26"/>
      <c r="W6" s="29" t="s">
        <v>64</v>
      </c>
      <c r="X6" s="29" t="s">
        <v>66</v>
      </c>
      <c r="Y6" s="29" t="s">
        <v>65</v>
      </c>
      <c r="Z6" s="29" t="s">
        <v>64</v>
      </c>
      <c r="AA6" s="29" t="s">
        <v>66</v>
      </c>
      <c r="AB6" s="29" t="s">
        <v>65</v>
      </c>
      <c r="AC6" s="30" t="s">
        <v>64</v>
      </c>
      <c r="AD6" s="30" t="s">
        <v>66</v>
      </c>
      <c r="AE6" s="30" t="s">
        <v>65</v>
      </c>
      <c r="AF6" s="31" t="s">
        <v>67</v>
      </c>
      <c r="AG6" s="31" t="s">
        <v>68</v>
      </c>
    </row>
    <row r="7" customFormat="false" ht="126.85" hidden="false" customHeight="false" outlineLevel="0" collapsed="false">
      <c r="A7" s="32" t="n">
        <v>1</v>
      </c>
      <c r="B7" s="33" t="s">
        <v>69</v>
      </c>
      <c r="C7" s="33" t="s">
        <v>70</v>
      </c>
      <c r="D7" s="34" t="n">
        <v>3</v>
      </c>
      <c r="E7" s="32" t="s">
        <v>71</v>
      </c>
      <c r="F7" s="34" t="n">
        <v>3</v>
      </c>
      <c r="G7" s="32" t="s">
        <v>71</v>
      </c>
      <c r="H7" s="34" t="n">
        <v>2.95</v>
      </c>
      <c r="I7" s="32" t="s">
        <v>72</v>
      </c>
      <c r="J7" s="34" t="n">
        <v>3</v>
      </c>
      <c r="K7" s="32" t="s">
        <v>71</v>
      </c>
      <c r="L7" s="34" t="n">
        <v>2.345</v>
      </c>
      <c r="M7" s="32" t="s">
        <v>73</v>
      </c>
      <c r="N7" s="32" t="s">
        <v>72</v>
      </c>
      <c r="O7" s="34" t="n">
        <v>1.99</v>
      </c>
      <c r="P7" s="32" t="s">
        <v>74</v>
      </c>
      <c r="Q7" s="32" t="s">
        <v>72</v>
      </c>
      <c r="R7" s="34" t="n">
        <v>2.72</v>
      </c>
      <c r="S7" s="32" t="s">
        <v>75</v>
      </c>
      <c r="T7" s="32" t="s">
        <v>72</v>
      </c>
      <c r="U7" s="34" t="s">
        <v>76</v>
      </c>
      <c r="V7" s="32" t="s">
        <v>77</v>
      </c>
      <c r="W7" s="32" t="n">
        <v>2.9825</v>
      </c>
      <c r="X7" s="32" t="s">
        <v>78</v>
      </c>
      <c r="Y7" s="32" t="s">
        <v>79</v>
      </c>
      <c r="Z7" s="34" t="n">
        <v>3.31842105263158</v>
      </c>
      <c r="AA7" s="32" t="s">
        <v>80</v>
      </c>
      <c r="AB7" s="32" t="s">
        <v>81</v>
      </c>
      <c r="AC7" s="34" t="n">
        <f aca="false">IFERROR(VALUE('RESULT Q2'!E9),"N/A")</f>
        <v>3.43947368421053</v>
      </c>
      <c r="AD7" s="33" t="str">
        <f aca="false">IFERROR('RESULT Q2'!G9,"-")</f>
        <v>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v>
      </c>
      <c r="AE7" s="32" t="str">
        <f aca="false">IFERROR('RESULT Q2'!F9,"N/A")</f>
        <v>Meet Expectation</v>
      </c>
      <c r="AF7" s="0" t="str">
        <f aca="false">B7&amp;" - "&amp;C7</f>
        <v>INDOSAT - LAYANAN PBX BERBASISKAN CLOUD DENGAN TEKNOLOGI SIP TRUNK</v>
      </c>
      <c r="AG7" s="35" t="str">
        <f aca="false">IFERROR('RESULT Q2'!D9,"-")</f>
        <v>Nuril HUDHA</v>
      </c>
    </row>
    <row r="8" customFormat="false" ht="53.7" hidden="false" customHeight="false" outlineLevel="0" collapsed="false">
      <c r="A8" s="32" t="n">
        <v>2</v>
      </c>
      <c r="B8" s="33" t="s">
        <v>82</v>
      </c>
      <c r="C8" s="33" t="s">
        <v>83</v>
      </c>
      <c r="D8" s="34" t="n">
        <v>3.78</v>
      </c>
      <c r="E8" s="32" t="s">
        <v>71</v>
      </c>
      <c r="F8" s="34" t="n">
        <v>4.21</v>
      </c>
      <c r="G8" s="32" t="s">
        <v>84</v>
      </c>
      <c r="H8" s="34" t="n">
        <v>3</v>
      </c>
      <c r="I8" s="32" t="s">
        <v>71</v>
      </c>
      <c r="J8" s="34" t="n">
        <v>3</v>
      </c>
      <c r="K8" s="32" t="s">
        <v>71</v>
      </c>
      <c r="L8" s="34" t="n">
        <v>3</v>
      </c>
      <c r="M8" s="32" t="s">
        <v>85</v>
      </c>
      <c r="N8" s="32" t="s">
        <v>71</v>
      </c>
      <c r="O8" s="34" t="n">
        <v>3</v>
      </c>
      <c r="P8" s="32" t="s">
        <v>86</v>
      </c>
      <c r="Q8" s="32" t="s">
        <v>71</v>
      </c>
      <c r="R8" s="34" t="n">
        <v>3</v>
      </c>
      <c r="S8" s="32" t="s">
        <v>87</v>
      </c>
      <c r="T8" s="32" t="s">
        <v>71</v>
      </c>
      <c r="U8" s="34" t="s">
        <v>88</v>
      </c>
      <c r="V8" s="32" t="s">
        <v>89</v>
      </c>
      <c r="W8" s="32" t="n">
        <v>3.08181818181818</v>
      </c>
      <c r="X8" s="32" t="s">
        <v>90</v>
      </c>
      <c r="Y8" s="32" t="s">
        <v>81</v>
      </c>
      <c r="Z8" s="34" t="n">
        <v>3</v>
      </c>
      <c r="AA8" s="32" t="s">
        <v>91</v>
      </c>
      <c r="AB8" s="32" t="s">
        <v>81</v>
      </c>
      <c r="AC8" s="34" t="n">
        <f aca="false">IFERROR(VALUE('RESULT Q2'!E6),"N/A")</f>
        <v>3</v>
      </c>
      <c r="AD8" s="33" t="str">
        <f aca="false">IFERROR('RESULT Q2'!G6,"-")</f>
        <v>So far, Jatis Vendor has provided good service. Their response time is fast, and they are able to provide effective solutions whenever issues arise</v>
      </c>
      <c r="AE8" s="32" t="str">
        <f aca="false">IFERROR('RESULT Q2'!F6,"N/A")</f>
        <v>Meet Expectation</v>
      </c>
      <c r="AF8" s="0" t="str">
        <f aca="false">B8&amp;" - "&amp;C8</f>
        <v>INFORMASI TEKNOLOGI INDONESIA - PENYEDIAAN JASA SMS BROADCAST DAN JASA SMS PULL; CONNECTIVITY PRIMARY LINK</v>
      </c>
      <c r="AG8" s="35" t="str">
        <f aca="false">IFERROR('RESULT Q2'!D6,"-")</f>
        <v>Fifin SARINURLITA</v>
      </c>
    </row>
    <row r="9" customFormat="false" ht="126.85" hidden="false" customHeight="false" outlineLevel="0" collapsed="false">
      <c r="A9" s="32" t="n">
        <v>3</v>
      </c>
      <c r="B9" s="33" t="s">
        <v>92</v>
      </c>
      <c r="C9" s="33" t="s">
        <v>93</v>
      </c>
      <c r="D9" s="34" t="n">
        <v>3</v>
      </c>
      <c r="E9" s="32" t="s">
        <v>71</v>
      </c>
      <c r="F9" s="34" t="n">
        <v>3</v>
      </c>
      <c r="G9" s="32" t="s">
        <v>71</v>
      </c>
      <c r="H9" s="34" t="n">
        <v>3.96</v>
      </c>
      <c r="I9" s="32" t="s">
        <v>71</v>
      </c>
      <c r="J9" s="34" t="n">
        <v>3.65</v>
      </c>
      <c r="K9" s="32" t="s">
        <v>71</v>
      </c>
      <c r="L9" s="34" t="n">
        <v>3</v>
      </c>
      <c r="M9" s="32" t="n">
        <v>0</v>
      </c>
      <c r="N9" s="32" t="s">
        <v>71</v>
      </c>
      <c r="O9" s="34" t="n">
        <v>4.41666666666667</v>
      </c>
      <c r="P9" s="32" t="s">
        <v>94</v>
      </c>
      <c r="Q9" s="32" t="s">
        <v>84</v>
      </c>
      <c r="R9" s="34" t="n">
        <v>4.35384615384615</v>
      </c>
      <c r="S9" s="32" t="s">
        <v>95</v>
      </c>
      <c r="T9" s="32" t="s">
        <v>84</v>
      </c>
      <c r="U9" s="34" t="s">
        <v>88</v>
      </c>
      <c r="V9" s="32" t="s">
        <v>89</v>
      </c>
      <c r="W9" s="32" t="n">
        <v>4.27307692307692</v>
      </c>
      <c r="X9" s="32" t="s">
        <v>96</v>
      </c>
      <c r="Y9" s="32" t="s">
        <v>97</v>
      </c>
      <c r="Z9" s="34" t="n">
        <v>4.82948717948718</v>
      </c>
      <c r="AA9" s="32" t="s">
        <v>98</v>
      </c>
      <c r="AB9" s="32" t="s">
        <v>81</v>
      </c>
      <c r="AC9" s="34" t="n">
        <f aca="false">IFERROR(VALUE('RESULT Q2'!E13),"N/A")</f>
        <v>4.74871794871795</v>
      </c>
      <c r="AD9" s="33" t="str">
        <f aca="false">IFERROR('RESULT Q2'!G13,"-")</f>
        <v>Respons terhadap issue maupun kebutuhan sudah cukup baik dan cepat. Support on-site juga sangat membantu dan responsif. Ke depannya, mungkin dapat lebih rutin memberikan update terkait progress kendala atau perbaikan yang sedang dilakukan, sehingga pihak terkait dapat mengetahui status terbaru dan lebih cepat menentukan langkah selanjutnya.</v>
      </c>
      <c r="AE9" s="32" t="str">
        <f aca="false">IFERROR('RESULT Q2'!F13,"N/A")</f>
        <v>Exceed Expectation</v>
      </c>
      <c r="AF9" s="0" t="str">
        <f aca="false">B9&amp;" - "&amp;C9</f>
        <v>MITRA INTEGRASI INFORMATIKA - SFDC MAINTENANCE</v>
      </c>
      <c r="AG9" s="35" t="str">
        <f aca="false">IFERROR('RESULT Q2'!D13,"-")</f>
        <v>Chandra Nugraha PUTRA</v>
      </c>
    </row>
    <row r="10" customFormat="false" ht="32.8" hidden="false" customHeight="false" outlineLevel="0" collapsed="false">
      <c r="A10" s="32" t="n">
        <v>4</v>
      </c>
      <c r="B10" s="33" t="s">
        <v>99</v>
      </c>
      <c r="C10" s="33" t="s">
        <v>100</v>
      </c>
      <c r="D10" s="34" t="n">
        <v>3</v>
      </c>
      <c r="E10" s="32" t="s">
        <v>71</v>
      </c>
      <c r="F10" s="34" t="n">
        <v>4</v>
      </c>
      <c r="G10" s="32" t="s">
        <v>84</v>
      </c>
      <c r="H10" s="34" t="n">
        <v>4</v>
      </c>
      <c r="I10" s="32" t="s">
        <v>84</v>
      </c>
      <c r="J10" s="34" t="n">
        <v>3.65</v>
      </c>
      <c r="K10" s="32" t="s">
        <v>71</v>
      </c>
      <c r="L10" s="34" t="n">
        <v>3</v>
      </c>
      <c r="M10" s="32" t="s">
        <v>89</v>
      </c>
      <c r="N10" s="32" t="s">
        <v>71</v>
      </c>
      <c r="O10" s="34" t="n">
        <v>3</v>
      </c>
      <c r="P10" s="32" t="s">
        <v>101</v>
      </c>
      <c r="Q10" s="32" t="s">
        <v>71</v>
      </c>
      <c r="R10" s="34" t="n">
        <v>3.9125</v>
      </c>
      <c r="S10" s="32" t="s">
        <v>102</v>
      </c>
      <c r="T10" s="32" t="s">
        <v>84</v>
      </c>
      <c r="U10" s="34" t="s">
        <v>88</v>
      </c>
      <c r="V10" s="32" t="s">
        <v>89</v>
      </c>
      <c r="W10" s="32" t="n">
        <v>3.06931818181818</v>
      </c>
      <c r="X10" s="32" t="s">
        <v>103</v>
      </c>
      <c r="Y10" s="32" t="s">
        <v>81</v>
      </c>
      <c r="Z10" s="34" t="n">
        <v>3.03181818181818</v>
      </c>
      <c r="AA10" s="32" t="s">
        <v>104</v>
      </c>
      <c r="AB10" s="32" t="s">
        <v>81</v>
      </c>
      <c r="AC10" s="34" t="n">
        <f aca="false">IFERROR(VALUE('RESULT Q2'!E8),"N/A")</f>
        <v>3</v>
      </c>
      <c r="AD10" s="33" t="str">
        <f aca="false">IFERROR('RESULT Q2'!G8,"-")</f>
        <v>..</v>
      </c>
      <c r="AE10" s="32" t="str">
        <f aca="false">IFERROR('RESULT Q2'!F8,"N/A")</f>
        <v>Meet Expectation</v>
      </c>
      <c r="AF10" s="0" t="str">
        <f aca="false">B10&amp;" - "&amp;C10</f>
        <v>MULTIFILING MITRA INDONESIA - RECORD MANAGEMENT SERVICE</v>
      </c>
      <c r="AG10" s="35" t="str">
        <f aca="false">IFERROR('RESULT Q2'!D8,"-")</f>
        <v>Ibnu KUMALA</v>
      </c>
    </row>
    <row r="11" customFormat="false" ht="43.25" hidden="false" customHeight="false" outlineLevel="0" collapsed="false">
      <c r="A11" s="32" t="n">
        <v>5</v>
      </c>
      <c r="B11" s="33" t="s">
        <v>105</v>
      </c>
      <c r="C11" s="33" t="s">
        <v>106</v>
      </c>
      <c r="D11" s="34" t="n">
        <v>4.9</v>
      </c>
      <c r="E11" s="32" t="s">
        <v>84</v>
      </c>
      <c r="F11" s="34" t="n">
        <v>4.73</v>
      </c>
      <c r="G11" s="32" t="s">
        <v>84</v>
      </c>
      <c r="H11" s="34" t="n">
        <v>3.38</v>
      </c>
      <c r="I11" s="32" t="s">
        <v>71</v>
      </c>
      <c r="J11" s="34" t="n">
        <v>3</v>
      </c>
      <c r="K11" s="32" t="s">
        <v>71</v>
      </c>
      <c r="L11" s="34" t="n">
        <v>3.975</v>
      </c>
      <c r="M11" s="32" t="s">
        <v>107</v>
      </c>
      <c r="N11" s="32" t="s">
        <v>84</v>
      </c>
      <c r="O11" s="34" t="n">
        <v>3.675</v>
      </c>
      <c r="P11" s="32" t="s">
        <v>108</v>
      </c>
      <c r="Q11" s="32" t="s">
        <v>71</v>
      </c>
      <c r="R11" s="34" t="n">
        <v>3.75</v>
      </c>
      <c r="S11" s="32" t="s">
        <v>89</v>
      </c>
      <c r="T11" s="32" t="s">
        <v>71</v>
      </c>
      <c r="U11" s="34" t="s">
        <v>88</v>
      </c>
      <c r="V11" s="32" t="s">
        <v>89</v>
      </c>
      <c r="W11" s="32" t="n">
        <v>4.2</v>
      </c>
      <c r="X11" s="32" t="s">
        <v>89</v>
      </c>
      <c r="Y11" s="32" t="s">
        <v>97</v>
      </c>
      <c r="Z11" s="34" t="n">
        <v>4</v>
      </c>
      <c r="AA11" s="32" t="s">
        <v>109</v>
      </c>
      <c r="AB11" s="32" t="s">
        <v>81</v>
      </c>
      <c r="AC11" s="34" t="n">
        <f aca="false">IFERROR(VALUE('RESULT Q2'!E10),"N/A")</f>
        <v>4.3</v>
      </c>
      <c r="AD11" s="33" t="str">
        <f aca="false">IFERROR('RESULT Q2'!G10,"-")</f>
        <v>Ciptadra selalu fast response ketika ada incident yang terjadi di DMTM</v>
      </c>
      <c r="AE11" s="32" t="str">
        <f aca="false">IFERROR('RESULT Q2'!F10,"N/A")</f>
        <v>Exceed Expectation</v>
      </c>
      <c r="AF11" s="0" t="str">
        <f aca="false">B11&amp;" - "&amp;C11</f>
        <v>CIPTADRA SOFTINDO - PEMELIHARAAN PERANGKAT LUNAK AXITS  DAN PERANGKAT LUNAK DMTM</v>
      </c>
      <c r="AG11" s="35" t="str">
        <f aca="false">IFERROR('RESULT Q2'!D10,"-")</f>
        <v>Raninta MAHARDI</v>
      </c>
    </row>
    <row r="12" customFormat="false" ht="85.05" hidden="false" customHeight="false" outlineLevel="0" collapsed="false">
      <c r="A12" s="32" t="n">
        <v>6</v>
      </c>
      <c r="B12" s="33" t="s">
        <v>110</v>
      </c>
      <c r="C12" s="33" t="s">
        <v>111</v>
      </c>
      <c r="D12" s="34" t="n">
        <v>3</v>
      </c>
      <c r="E12" s="32" t="s">
        <v>71</v>
      </c>
      <c r="F12" s="34" t="n">
        <v>3</v>
      </c>
      <c r="G12" s="32" t="s">
        <v>71</v>
      </c>
      <c r="H12" s="34" t="n">
        <v>3.09</v>
      </c>
      <c r="I12" s="32" t="s">
        <v>71</v>
      </c>
      <c r="J12" s="34" t="n">
        <v>3</v>
      </c>
      <c r="K12" s="32" t="s">
        <v>71</v>
      </c>
      <c r="L12" s="34" t="n">
        <v>2.121875</v>
      </c>
      <c r="M12" s="32" t="s">
        <v>112</v>
      </c>
      <c r="N12" s="32" t="s">
        <v>72</v>
      </c>
      <c r="O12" s="34" t="n">
        <v>2.9890625</v>
      </c>
      <c r="P12" s="32" t="s">
        <v>113</v>
      </c>
      <c r="Q12" s="32" t="s">
        <v>72</v>
      </c>
      <c r="R12" s="34" t="n">
        <v>3</v>
      </c>
      <c r="S12" s="32" t="s">
        <v>114</v>
      </c>
      <c r="T12" s="32" t="s">
        <v>71</v>
      </c>
      <c r="U12" s="34" t="s">
        <v>88</v>
      </c>
      <c r="V12" s="32" t="s">
        <v>115</v>
      </c>
      <c r="W12" s="32" t="n">
        <v>3.65</v>
      </c>
      <c r="X12" s="32" t="s">
        <v>89</v>
      </c>
      <c r="Y12" s="32" t="s">
        <v>81</v>
      </c>
      <c r="Z12" s="34" t="n">
        <v>4</v>
      </c>
      <c r="AA12" s="32" t="s">
        <v>116</v>
      </c>
      <c r="AB12" s="32" t="s">
        <v>81</v>
      </c>
      <c r="AC12" s="34" t="n">
        <f aca="false">IFERROR(VALUE('RESULT Q2'!E12),"N/A")</f>
        <v>4</v>
      </c>
      <c r="AD12" s="33" t="str">
        <f aca="false">IFERROR('RESULT Q2'!G12,"-")</f>
        <v>Tetap up to date dan helpful</v>
      </c>
      <c r="AE12" s="32" t="str">
        <f aca="false">IFERROR('RESULT Q2'!F12,"N/A")</f>
        <v>Exceed Expectation</v>
      </c>
      <c r="AF12" s="0" t="str">
        <f aca="false">B12&amp;" - "&amp;C12</f>
        <v>INMOTION INOVASI TEKNOLOGI - JASA APLIKASI CHATBOT DAN LIVE CHAT</v>
      </c>
      <c r="AG12" s="35" t="str">
        <f aca="false">IFERROR('RESULT Q2'!D12,"-")</f>
        <v>Djoko DJOKO</v>
      </c>
    </row>
    <row r="13" customFormat="false" ht="210.4" hidden="false" customHeight="false" outlineLevel="0" collapsed="false">
      <c r="A13" s="32" t="n">
        <v>7</v>
      </c>
      <c r="B13" s="33" t="s">
        <v>117</v>
      </c>
      <c r="C13" s="33" t="s">
        <v>118</v>
      </c>
      <c r="D13" s="34" t="n">
        <v>3.75</v>
      </c>
      <c r="E13" s="32" t="s">
        <v>71</v>
      </c>
      <c r="F13" s="34" t="n">
        <v>3.83</v>
      </c>
      <c r="G13" s="32" t="s">
        <v>71</v>
      </c>
      <c r="H13" s="34" t="n">
        <v>2.74</v>
      </c>
      <c r="I13" s="32" t="s">
        <v>72</v>
      </c>
      <c r="J13" s="34" t="n">
        <v>2.725</v>
      </c>
      <c r="K13" s="32" t="s">
        <v>72</v>
      </c>
      <c r="L13" s="34" t="n">
        <v>2.86</v>
      </c>
      <c r="M13" s="32" t="s">
        <v>119</v>
      </c>
      <c r="N13" s="32" t="s">
        <v>72</v>
      </c>
      <c r="O13" s="34" t="n">
        <v>2.61666666666667</v>
      </c>
      <c r="P13" s="32" t="s">
        <v>120</v>
      </c>
      <c r="Q13" s="32" t="s">
        <v>72</v>
      </c>
      <c r="R13" s="34" t="n">
        <v>2.5</v>
      </c>
      <c r="S13" s="32" t="s">
        <v>121</v>
      </c>
      <c r="T13" s="32" t="s">
        <v>72</v>
      </c>
      <c r="U13" s="34" t="s">
        <v>122</v>
      </c>
      <c r="V13" s="32" t="s">
        <v>123</v>
      </c>
      <c r="W13" s="32" t="n">
        <v>2.96111111111111</v>
      </c>
      <c r="X13" s="32" t="s">
        <v>124</v>
      </c>
      <c r="Y13" s="32" t="s">
        <v>79</v>
      </c>
      <c r="Z13" s="34" t="n">
        <v>3</v>
      </c>
      <c r="AA13" s="32" t="s">
        <v>125</v>
      </c>
      <c r="AB13" s="32" t="s">
        <v>81</v>
      </c>
      <c r="AC13" s="34" t="n">
        <f aca="false">IFERROR(VALUE('RESULT Q2'!E7),"N/A")</f>
        <v>3.23833333333333</v>
      </c>
      <c r="AD13" s="33" t="str">
        <f aca="false">IFERROR('RESULT Q2'!G7,"-")</f>
        <v>SAP has shown improvement in terms of reporting and provides a fast response whenever issues arise. | 1. untuk detail status pengiriman dokumen/barang harus diberikan keterangan penerima dengan lengkap dan jelas;
2. Maks. SLA pengiriman harus memenuhi sesuai dengan yang ditetapkan yaitu &lt;5% not meet SLA;
3. Invoice biaya pengiriman dikirimkan ke user yang sesuai dan dikirimkan tidak melebihi periode yang ditetapkan.
4. Report Stock sesuai dengan real stock di warehouse.
</v>
      </c>
      <c r="AE13" s="32" t="str">
        <f aca="false">IFERROR('RESULT Q2'!F7,"N/A")</f>
        <v>Meet Expectation</v>
      </c>
      <c r="AF13" s="0" t="str">
        <f aca="false">B13&amp;" - "&amp;C13</f>
        <v>SATRIA ANTARAN PRIMA TBK - PENGIRIMAN POLIS DOKUMEN DAN PAKET DALAM NEGERI</v>
      </c>
      <c r="AG13" s="35" t="str">
        <f aca="false">IFERROR('RESULT Q2'!D7,"-")</f>
        <v>Fifin SARINURLITA, Novia Laras SANTI</v>
      </c>
    </row>
    <row r="14" customFormat="false" ht="53.7" hidden="false" customHeight="false" outlineLevel="0" collapsed="false">
      <c r="A14" s="32" t="n">
        <v>8</v>
      </c>
      <c r="B14" s="33" t="s">
        <v>117</v>
      </c>
      <c r="C14" s="33" t="s">
        <v>126</v>
      </c>
      <c r="D14" s="34" t="s">
        <v>127</v>
      </c>
      <c r="E14" s="32" t="s">
        <v>127</v>
      </c>
      <c r="F14" s="34" t="s">
        <v>127</v>
      </c>
      <c r="G14" s="32" t="s">
        <v>127</v>
      </c>
      <c r="H14" s="34" t="s">
        <v>127</v>
      </c>
      <c r="I14" s="32" t="s">
        <v>127</v>
      </c>
      <c r="J14" s="34" t="s">
        <v>127</v>
      </c>
      <c r="K14" s="32" t="s">
        <v>127</v>
      </c>
      <c r="L14" s="34" t="n">
        <v>3</v>
      </c>
      <c r="M14" s="32" t="s">
        <v>89</v>
      </c>
      <c r="N14" s="32" t="s">
        <v>71</v>
      </c>
      <c r="O14" s="34" t="s">
        <v>127</v>
      </c>
      <c r="P14" s="32" t="s">
        <v>127</v>
      </c>
      <c r="Q14" s="32" t="s">
        <v>127</v>
      </c>
      <c r="R14" s="34" t="n">
        <v>3.9125</v>
      </c>
      <c r="S14" s="32" t="s">
        <v>128</v>
      </c>
      <c r="T14" s="32" t="s">
        <v>84</v>
      </c>
      <c r="U14" s="34" t="s">
        <v>88</v>
      </c>
      <c r="V14" s="32" t="s">
        <v>89</v>
      </c>
      <c r="W14" s="32" t="n">
        <v>3.05</v>
      </c>
      <c r="X14" s="32" t="s">
        <v>129</v>
      </c>
      <c r="Y14" s="32" t="s">
        <v>81</v>
      </c>
      <c r="Z14" s="34" t="n">
        <v>3.40416666666667</v>
      </c>
      <c r="AA14" s="32" t="s">
        <v>130</v>
      </c>
      <c r="AB14" s="32" t="s">
        <v>81</v>
      </c>
      <c r="AC14" s="34" t="n">
        <f aca="false">IFERROR(VALUE('RESULT Q2'!E5),"N/A")</f>
        <v>3.04375</v>
      </c>
      <c r="AD14" s="33" t="str">
        <f aca="false">IFERROR('RESULT Q2'!G5,"-")</f>
        <v>improve inisiatsis</v>
      </c>
      <c r="AE14" s="32" t="str">
        <f aca="false">IFERROR('RESULT Q2'!F5,"N/A")</f>
        <v>Meet Expectation</v>
      </c>
      <c r="AF14" s="0" t="str">
        <f aca="false">B14&amp;" - "&amp;C14</f>
        <v>SATRIA ANTARAN PRIMA TBK - MAILING ROOM</v>
      </c>
      <c r="AG14" s="35" t="str">
        <f aca="false">IFERROR('RESULT Q2'!D5,"-")</f>
        <v>Ibnu KUMALA</v>
      </c>
    </row>
    <row r="15" customFormat="false" ht="199.95" hidden="false" customHeight="false" outlineLevel="0" collapsed="false">
      <c r="A15" s="32" t="n">
        <v>9</v>
      </c>
      <c r="B15" s="33" t="s">
        <v>131</v>
      </c>
      <c r="C15" s="33" t="s">
        <v>132</v>
      </c>
      <c r="D15" s="34" t="n">
        <v>2.85</v>
      </c>
      <c r="E15" s="32" t="s">
        <v>72</v>
      </c>
      <c r="F15" s="34" t="n">
        <v>3.28</v>
      </c>
      <c r="G15" s="32" t="s">
        <v>71</v>
      </c>
      <c r="H15" s="34" t="n">
        <v>4</v>
      </c>
      <c r="I15" s="32" t="s">
        <v>84</v>
      </c>
      <c r="J15" s="34" t="n">
        <v>3.3125</v>
      </c>
      <c r="K15" s="32" t="s">
        <v>71</v>
      </c>
      <c r="L15" s="34" t="n">
        <v>3.74444444444444</v>
      </c>
      <c r="M15" s="32" t="s">
        <v>133</v>
      </c>
      <c r="N15" s="32" t="s">
        <v>71</v>
      </c>
      <c r="O15" s="34" t="n">
        <v>4</v>
      </c>
      <c r="P15" s="32" t="s">
        <v>134</v>
      </c>
      <c r="Q15" s="32" t="s">
        <v>84</v>
      </c>
      <c r="R15" s="34" t="n">
        <v>3</v>
      </c>
      <c r="S15" s="32" t="s">
        <v>135</v>
      </c>
      <c r="T15" s="32" t="s">
        <v>71</v>
      </c>
      <c r="U15" s="34" t="s">
        <v>88</v>
      </c>
      <c r="V15" s="32" t="s">
        <v>89</v>
      </c>
      <c r="W15" s="32" t="n">
        <v>3.65</v>
      </c>
      <c r="X15" s="32" t="s">
        <v>136</v>
      </c>
      <c r="Y15" s="32" t="s">
        <v>81</v>
      </c>
      <c r="Z15" s="34" t="n">
        <v>3.9</v>
      </c>
      <c r="AA15" s="32" t="s">
        <v>137</v>
      </c>
      <c r="AB15" s="32" t="s">
        <v>81</v>
      </c>
      <c r="AC15" s="34" t="n">
        <f aca="false">IFERROR(VALUE('RESULT Q2'!E11),"N/A")</f>
        <v>2.94166666666667</v>
      </c>
      <c r="AD15" s="33" t="str">
        <f aca="false">IFERROR('RESULT Q2'!G11,"-")</f>
        <v>Secara keseluruhan, MTarget telah memberikan dukungan yang baik dalam operasional email campaign dan responsif dalam menangani kebutuhan maupun isu yang muncul. Namun, insiden kesalahan pengiriman email yang terjadi menunjukkan perlunya penguatan pada proses deployment, pengujian, serta validasi sebelum implementasi ke production. Ke depannya, kami berharap MTarget dapat memperkuat proses change management, quality assurance, dan kontrol terhadap segmentasi serta pengiriman email untuk meminimalkan risiko terjadinya insiden serupa.</v>
      </c>
      <c r="AE15" s="32" t="str">
        <f aca="false">IFERROR('RESULT Q2'!F11,"N/A")</f>
        <v>Below Expectation</v>
      </c>
      <c r="AF15" s="0" t="str">
        <f aca="false">B15&amp;" - "&amp;C15</f>
        <v>TARGET SUKSES SINERGI - PENGIRIMAN EMAIL MARKETING AUTOMATION</v>
      </c>
      <c r="AG15" s="35" t="str">
        <f aca="false">IFERROR('RESULT Q2'!D11,"-")</f>
        <v>Bella Friska DEPARI</v>
      </c>
    </row>
    <row r="16" customFormat="false" ht="64.15" hidden="false" customHeight="false" outlineLevel="0" collapsed="false">
      <c r="A16" s="32" t="n">
        <v>10</v>
      </c>
      <c r="B16" s="33" t="s">
        <v>138</v>
      </c>
      <c r="C16" s="33" t="s">
        <v>139</v>
      </c>
      <c r="D16" s="34" t="n">
        <v>3</v>
      </c>
      <c r="E16" s="32" t="s">
        <v>71</v>
      </c>
      <c r="F16" s="34" t="n">
        <v>3.61</v>
      </c>
      <c r="G16" s="32" t="s">
        <v>71</v>
      </c>
      <c r="H16" s="34" t="n">
        <v>3.4</v>
      </c>
      <c r="I16" s="32" t="s">
        <v>71</v>
      </c>
      <c r="J16" s="34" t="n">
        <v>3.0875</v>
      </c>
      <c r="K16" s="32" t="s">
        <v>71</v>
      </c>
      <c r="L16" s="34" t="n">
        <v>3.03888888888889</v>
      </c>
      <c r="M16" s="32" t="s">
        <v>140</v>
      </c>
      <c r="N16" s="32" t="s">
        <v>71</v>
      </c>
      <c r="O16" s="34" t="n">
        <v>3.54444444444444</v>
      </c>
      <c r="P16" s="32" t="s">
        <v>141</v>
      </c>
      <c r="Q16" s="32" t="s">
        <v>71</v>
      </c>
      <c r="R16" s="34" t="n">
        <v>3</v>
      </c>
      <c r="S16" s="32" t="s">
        <v>142</v>
      </c>
      <c r="T16" s="32" t="s">
        <v>71</v>
      </c>
      <c r="U16" s="34" t="s">
        <v>88</v>
      </c>
      <c r="V16" s="32" t="s">
        <v>89</v>
      </c>
      <c r="W16" s="32" t="n">
        <v>3.46875</v>
      </c>
      <c r="X16" s="32" t="s">
        <v>143</v>
      </c>
      <c r="Y16" s="32" t="s">
        <v>81</v>
      </c>
      <c r="Z16" s="34" t="n">
        <v>0</v>
      </c>
      <c r="AA16" s="32" t="n">
        <v>0</v>
      </c>
      <c r="AB16" s="32"/>
      <c r="AC16" s="34" t="n">
        <f aca="false">IFERROR(VALUE('RESULT Q2'!E19),"N/A")</f>
        <v>3.0875</v>
      </c>
      <c r="AD16" s="33" t="str">
        <f aca="false">IFERROR('RESULT Q2'!G19,"-")</f>
        <v>To ensure a smooth process, we need to move faster and maintain effective communication</v>
      </c>
      <c r="AE16" s="32" t="str">
        <f aca="false">IFERROR('RESULT Q2'!F19,"N/A")</f>
        <v>Meet Expectation</v>
      </c>
      <c r="AF16" s="0" t="str">
        <f aca="false">B16&amp;" - "&amp;C16</f>
        <v>WIZ TECHNOLOGY INDONESIA - VOICE BOT REMINDER CALL</v>
      </c>
      <c r="AG16" s="35" t="str">
        <f aca="false">IFERROR('RESULT Q2'!D19,"-")</f>
        <v>Ravika OKTAVIANI</v>
      </c>
    </row>
    <row r="17" customFormat="false" ht="158.2" hidden="false" customHeight="false" outlineLevel="0" collapsed="false">
      <c r="A17" s="32" t="n">
        <v>11</v>
      </c>
      <c r="B17" s="33" t="s">
        <v>144</v>
      </c>
      <c r="C17" s="33" t="s">
        <v>145</v>
      </c>
      <c r="D17" s="34" t="n">
        <v>3.46</v>
      </c>
      <c r="E17" s="32" t="s">
        <v>71</v>
      </c>
      <c r="F17" s="34" t="n">
        <v>3.46</v>
      </c>
      <c r="G17" s="32" t="s">
        <v>71</v>
      </c>
      <c r="H17" s="34" t="n">
        <v>3.86</v>
      </c>
      <c r="I17" s="32" t="s">
        <v>71</v>
      </c>
      <c r="J17" s="34" t="n">
        <v>3</v>
      </c>
      <c r="K17" s="32" t="s">
        <v>71</v>
      </c>
      <c r="L17" s="34" t="n">
        <v>3.18076923076923</v>
      </c>
      <c r="M17" s="32" t="s">
        <v>146</v>
      </c>
      <c r="N17" s="32" t="s">
        <v>71</v>
      </c>
      <c r="O17" s="34" t="n">
        <v>2.93717948717949</v>
      </c>
      <c r="P17" s="32" t="s">
        <v>147</v>
      </c>
      <c r="Q17" s="32" t="s">
        <v>72</v>
      </c>
      <c r="R17" s="34" t="n">
        <v>2.42727272727273</v>
      </c>
      <c r="S17" s="32" t="s">
        <v>148</v>
      </c>
      <c r="T17" s="32" t="s">
        <v>72</v>
      </c>
      <c r="U17" s="34" t="s">
        <v>149</v>
      </c>
      <c r="V17" s="32" t="s">
        <v>150</v>
      </c>
      <c r="W17" s="32" t="n">
        <v>3.51818181818182</v>
      </c>
      <c r="X17" s="32" t="s">
        <v>151</v>
      </c>
      <c r="Y17" s="32" t="s">
        <v>81</v>
      </c>
      <c r="Z17" s="34" t="n">
        <v>3.03181818181818</v>
      </c>
      <c r="AA17" s="32" t="s">
        <v>152</v>
      </c>
      <c r="AB17" s="32" t="s">
        <v>81</v>
      </c>
      <c r="AC17" s="34" t="n">
        <f aca="false">IFERROR(VALUE('RESULT Q2'!E18),"N/A")</f>
        <v>3.53939393939394</v>
      </c>
      <c r="AD17" s="33" t="str">
        <f aca="false">IFERROR('RESULT Q2'!G18,"-")</f>
        <v>1. For AI Implementation, KPSG need to improve the delivery time, quality and PIC availability and backup PIC support
2. Another enhancement need to speed up with dedicated team </v>
      </c>
      <c r="AE17" s="32" t="str">
        <f aca="false">IFERROR('RESULT Q2'!F18,"N/A")</f>
        <v>Meet Expectation</v>
      </c>
      <c r="AF17" s="0" t="str">
        <f aca="false">B17&amp;" - "&amp;C17</f>
        <v>KARYAPUTRA SURYAGEMILANG - TELEMARKETING REVAMP PROJECT</v>
      </c>
      <c r="AG17" s="35" t="str">
        <f aca="false">IFERROR('RESULT Q2'!D18,"-")</f>
        <v>Nuril HUDHA</v>
      </c>
    </row>
    <row r="18" customFormat="false" ht="126.85" hidden="false" customHeight="false" outlineLevel="0" collapsed="false">
      <c r="A18" s="32" t="n">
        <v>12</v>
      </c>
      <c r="B18" s="33" t="s">
        <v>153</v>
      </c>
      <c r="C18" s="33" t="s">
        <v>154</v>
      </c>
      <c r="D18" s="34" t="s">
        <v>127</v>
      </c>
      <c r="E18" s="32" t="s">
        <v>127</v>
      </c>
      <c r="F18" s="34" t="n">
        <v>3</v>
      </c>
      <c r="G18" s="32" t="s">
        <v>71</v>
      </c>
      <c r="H18" s="34" t="n">
        <v>3</v>
      </c>
      <c r="I18" s="32" t="s">
        <v>71</v>
      </c>
      <c r="J18" s="34" t="n">
        <v>3.35</v>
      </c>
      <c r="K18" s="32" t="s">
        <v>71</v>
      </c>
      <c r="L18" s="34" t="n">
        <v>2.84090909090909</v>
      </c>
      <c r="M18" s="32" t="s">
        <v>155</v>
      </c>
      <c r="N18" s="32" t="s">
        <v>72</v>
      </c>
      <c r="O18" s="34" t="n">
        <v>2.77272727272727</v>
      </c>
      <c r="P18" s="32" t="s">
        <v>156</v>
      </c>
      <c r="Q18" s="32" t="s">
        <v>72</v>
      </c>
      <c r="R18" s="34" t="n">
        <v>2</v>
      </c>
      <c r="S18" s="32" t="s">
        <v>157</v>
      </c>
      <c r="T18" s="32" t="s">
        <v>72</v>
      </c>
      <c r="U18" s="34" t="s">
        <v>158</v>
      </c>
      <c r="V18" s="32" t="s">
        <v>159</v>
      </c>
      <c r="W18" s="32" t="n">
        <v>2.96111111111111</v>
      </c>
      <c r="X18" s="32" t="s">
        <v>160</v>
      </c>
      <c r="Y18" s="32" t="s">
        <v>79</v>
      </c>
      <c r="Z18" s="34" t="n">
        <v>2.96111111111111</v>
      </c>
      <c r="AA18" s="32" t="s">
        <v>161</v>
      </c>
      <c r="AB18" s="32" t="s">
        <v>79</v>
      </c>
      <c r="AC18" s="34" t="str">
        <f aca="false">IFERROR(VALUE('RESULT Q2'!E23),"N/A")</f>
        <v>N/A</v>
      </c>
      <c r="AD18" s="33" t="str">
        <f aca="false">IFERROR('RESULT Q2'!G23,"-")</f>
        <v>-</v>
      </c>
      <c r="AE18" s="32" t="str">
        <f aca="false">IFERROR('RESULT Q2'!F23,"N/A")</f>
        <v>Tidak Dievaluasi Q2</v>
      </c>
      <c r="AF18" s="0" t="str">
        <f aca="false">B18&amp;" - "&amp;C18</f>
        <v>ARAH SEJAHTERA ABADI - PERJANJIAN SEWA MENYEWA</v>
      </c>
      <c r="AG18" s="35" t="str">
        <f aca="false">IFERROR('RESULT Q2'!D23,"-")</f>
        <v>ibnu.kumala@axa-mandiri.co.id</v>
      </c>
    </row>
    <row r="19" customFormat="false" ht="158.2" hidden="false" customHeight="false" outlineLevel="0" collapsed="false">
      <c r="A19" s="32" t="n">
        <v>13</v>
      </c>
      <c r="B19" s="33" t="s">
        <v>162</v>
      </c>
      <c r="C19" s="33" t="s">
        <v>163</v>
      </c>
      <c r="D19" s="34" t="s">
        <v>127</v>
      </c>
      <c r="E19" s="32" t="s">
        <v>127</v>
      </c>
      <c r="F19" s="34" t="s">
        <v>127</v>
      </c>
      <c r="G19" s="32" t="s">
        <v>127</v>
      </c>
      <c r="H19" s="34" t="s">
        <v>127</v>
      </c>
      <c r="I19" s="32" t="s">
        <v>127</v>
      </c>
      <c r="J19" s="34" t="n">
        <v>3.23333333333333</v>
      </c>
      <c r="K19" s="32" t="s">
        <v>71</v>
      </c>
      <c r="L19" s="34" t="n">
        <v>2.97083333333333</v>
      </c>
      <c r="M19" s="32" t="s">
        <v>164</v>
      </c>
      <c r="N19" s="32" t="s">
        <v>72</v>
      </c>
      <c r="O19" s="34" t="n">
        <v>2.88333333333333</v>
      </c>
      <c r="P19" s="32" t="s">
        <v>165</v>
      </c>
      <c r="Q19" s="32" t="s">
        <v>72</v>
      </c>
      <c r="R19" s="34" t="n">
        <v>3.1</v>
      </c>
      <c r="S19" s="32" t="s">
        <v>166</v>
      </c>
      <c r="T19" s="32" t="s">
        <v>71</v>
      </c>
      <c r="U19" s="34" t="s">
        <v>88</v>
      </c>
      <c r="V19" s="32" t="s">
        <v>89</v>
      </c>
      <c r="W19" s="32" t="n">
        <v>3.11666666666667</v>
      </c>
      <c r="X19" s="32" t="s">
        <v>167</v>
      </c>
      <c r="Y19" s="32" t="s">
        <v>81</v>
      </c>
      <c r="Z19" s="34" t="n">
        <v>3.16363636363636</v>
      </c>
      <c r="AA19" s="32" t="s">
        <v>168</v>
      </c>
      <c r="AB19" s="32" t="s">
        <v>81</v>
      </c>
      <c r="AC19" s="34" t="n">
        <f aca="false">IFERROR(VALUE('RESULT Q2'!E16),"N/A")</f>
        <v>4.06363636363636</v>
      </c>
      <c r="AD19" s="33" t="str">
        <f aca="false">IFERROR('RESULT Q2'!G16,"-")</f>
        <v>In dealing with Security AI-related issues, Deloitte is occasionally unable to provide a resolution and therefore redirects the matter to the Security AI team. Furthermore, several system features are restricted, and these limitations were not clearly communicated at the outset. Consequently, this has created challenges in implementing system enhancements and aligning the system with the business requirements of Security AI users.</v>
      </c>
      <c r="AE19" s="32" t="str">
        <f aca="false">IFERROR('RESULT Q2'!F16,"N/A")</f>
        <v>Exceed Expectation</v>
      </c>
      <c r="AF19" s="0" t="str">
        <f aca="false">B19&amp;" - "&amp;C19</f>
        <v>DELOITTE CONSULTING - DATA PRIVACY TOOLS &amp; PELATIHAN PERSONAL DATA PROTECTION (PDP)</v>
      </c>
      <c r="AG19" s="35" t="str">
        <f aca="false">IFERROR('RESULT Q2'!D16,"-")</f>
        <v>M. Andrian Patria Shaleh RIZAL</v>
      </c>
    </row>
    <row r="20" customFormat="false" ht="273.1" hidden="false" customHeight="false" outlineLevel="0" collapsed="false">
      <c r="A20" s="32" t="n">
        <v>14</v>
      </c>
      <c r="B20" s="33" t="s">
        <v>169</v>
      </c>
      <c r="C20" s="33" t="s">
        <v>170</v>
      </c>
      <c r="D20" s="34" t="s">
        <v>127</v>
      </c>
      <c r="E20" s="32" t="s">
        <v>127</v>
      </c>
      <c r="F20" s="34" t="s">
        <v>127</v>
      </c>
      <c r="G20" s="32" t="s">
        <v>127</v>
      </c>
      <c r="H20" s="34" t="s">
        <v>127</v>
      </c>
      <c r="I20" s="32" t="s">
        <v>127</v>
      </c>
      <c r="J20" s="34" t="s">
        <v>127</v>
      </c>
      <c r="K20" s="32" t="s">
        <v>127</v>
      </c>
      <c r="L20" s="34" t="n">
        <v>3.18666666666667</v>
      </c>
      <c r="M20" s="32" t="s">
        <v>171</v>
      </c>
      <c r="N20" s="32" t="s">
        <v>71</v>
      </c>
      <c r="O20" s="34" t="n">
        <v>3.67333333333333</v>
      </c>
      <c r="P20" s="32" t="s">
        <v>172</v>
      </c>
      <c r="Q20" s="32" t="s">
        <v>71</v>
      </c>
      <c r="R20" s="34" t="n">
        <v>3.51666666666667</v>
      </c>
      <c r="S20" s="32" t="s">
        <v>173</v>
      </c>
      <c r="T20" s="32" t="s">
        <v>71</v>
      </c>
      <c r="U20" s="34" t="s">
        <v>88</v>
      </c>
      <c r="V20" s="32" t="s">
        <v>89</v>
      </c>
      <c r="W20" s="32" t="n">
        <v>3.86666666666667</v>
      </c>
      <c r="X20" s="32" t="s">
        <v>127</v>
      </c>
      <c r="Y20" s="32" t="s">
        <v>81</v>
      </c>
      <c r="Z20" s="34" t="n">
        <v>3.68333333333333</v>
      </c>
      <c r="AA20" s="32" t="s">
        <v>174</v>
      </c>
      <c r="AB20" s="32" t="s">
        <v>81</v>
      </c>
      <c r="AC20" s="34" t="n">
        <f aca="false">IFERROR(VALUE('RESULT Q2'!E14),"N/A")</f>
        <v>3.33333333333333</v>
      </c>
      <c r="AD20" s="33" t="str">
        <f aca="false">IFERROR('RESULT Q2'!G14,"-")</f>
        <v>no feedback</v>
      </c>
      <c r="AE20" s="32" t="str">
        <f aca="false">IFERROR('RESULT Q2'!F14,"N/A")</f>
        <v>Meet Expectation</v>
      </c>
      <c r="AF20" s="0" t="str">
        <f aca="false">B20&amp;" - "&amp;C20</f>
        <v>SUTRA MANAGEMENT CONSULTANCIES - IMPLEMENTASI SAS IFRS17</v>
      </c>
      <c r="AG20" s="35" t="str">
        <f aca="false">IFERROR('RESULT Q2'!D14,"-")</f>
        <v>Tatang SUTIAMAN</v>
      </c>
    </row>
    <row r="21" customFormat="false" ht="53.7" hidden="false" customHeight="false" outlineLevel="0" collapsed="false">
      <c r="A21" s="32" t="n">
        <v>15</v>
      </c>
      <c r="B21" s="33" t="s">
        <v>175</v>
      </c>
      <c r="C21" s="33" t="s">
        <v>176</v>
      </c>
      <c r="D21" s="34"/>
      <c r="E21" s="32"/>
      <c r="F21" s="34"/>
      <c r="G21" s="32"/>
      <c r="H21" s="34"/>
      <c r="I21" s="32"/>
      <c r="J21" s="34"/>
      <c r="K21" s="32"/>
      <c r="L21" s="34" t="s">
        <v>127</v>
      </c>
      <c r="M21" s="32" t="s">
        <v>127</v>
      </c>
      <c r="N21" s="32" t="s">
        <v>127</v>
      </c>
      <c r="O21" s="34" t="s">
        <v>127</v>
      </c>
      <c r="P21" s="32" t="s">
        <v>127</v>
      </c>
      <c r="Q21" s="32" t="s">
        <v>127</v>
      </c>
      <c r="R21" s="34" t="s">
        <v>127</v>
      </c>
      <c r="S21" s="32" t="s">
        <v>127</v>
      </c>
      <c r="T21" s="32" t="s">
        <v>127</v>
      </c>
      <c r="U21" s="34" t="n">
        <v>3</v>
      </c>
      <c r="V21" s="32" t="s">
        <v>177</v>
      </c>
      <c r="W21" s="32"/>
      <c r="X21" s="32"/>
      <c r="Y21" s="32"/>
      <c r="Z21" s="34" t="n">
        <v>3</v>
      </c>
      <c r="AA21" s="32" t="s">
        <v>178</v>
      </c>
      <c r="AB21" s="32" t="s">
        <v>81</v>
      </c>
      <c r="AC21" s="34" t="n">
        <f aca="false">IFERROR(VALUE('RESULT Q2'!E17),"N/A")</f>
        <v>3</v>
      </c>
      <c r="AD21" s="33" t="str">
        <f aca="false">IFERROR('RESULT Q2'!G17,"-")</f>
        <v>-</v>
      </c>
      <c r="AE21" s="32" t="str">
        <f aca="false">IFERROR('RESULT Q2'!F17,"N/A")</f>
        <v>Meet Expectation</v>
      </c>
      <c r="AF21" s="0" t="str">
        <f aca="false">B21&amp;" - "&amp;C21</f>
        <v>TMF INDONESIA - PAYROLL</v>
      </c>
      <c r="AG21" s="35" t="str">
        <f aca="false">IFERROR('RESULT Q2'!D17,"-")</f>
        <v>Enung HARYATI</v>
      </c>
    </row>
    <row r="22" customFormat="false" ht="43.25" hidden="false" customHeight="false" outlineLevel="0" collapsed="false">
      <c r="A22" s="32" t="n">
        <v>16</v>
      </c>
      <c r="B22" s="33" t="s">
        <v>179</v>
      </c>
      <c r="C22" s="33" t="s">
        <v>180</v>
      </c>
      <c r="D22" s="34"/>
      <c r="E22" s="32"/>
      <c r="F22" s="34"/>
      <c r="G22" s="32"/>
      <c r="H22" s="34"/>
      <c r="I22" s="32"/>
      <c r="J22" s="34"/>
      <c r="K22" s="32"/>
      <c r="L22" s="34" t="s">
        <v>127</v>
      </c>
      <c r="M22" s="32" t="s">
        <v>127</v>
      </c>
      <c r="N22" s="32" t="s">
        <v>127</v>
      </c>
      <c r="O22" s="34" t="s">
        <v>127</v>
      </c>
      <c r="P22" s="32" t="s">
        <v>127</v>
      </c>
      <c r="Q22" s="32" t="s">
        <v>127</v>
      </c>
      <c r="R22" s="34" t="s">
        <v>127</v>
      </c>
      <c r="S22" s="32" t="s">
        <v>127</v>
      </c>
      <c r="T22" s="32" t="s">
        <v>127</v>
      </c>
      <c r="U22" s="34" t="n">
        <v>3.54166666666667</v>
      </c>
      <c r="V22" s="32" t="s">
        <v>151</v>
      </c>
      <c r="W22" s="32"/>
      <c r="X22" s="32"/>
      <c r="Y22" s="32"/>
      <c r="Z22" s="34" t="n">
        <v>4.76666666666667</v>
      </c>
      <c r="AA22" s="32" t="s">
        <v>181</v>
      </c>
      <c r="AB22" s="32" t="s">
        <v>97</v>
      </c>
      <c r="AC22" s="34" t="n">
        <f aca="false">IFERROR(VALUE('RESULT Q2'!E15),"N/A")</f>
        <v>4.3</v>
      </c>
      <c r="AD22" s="33" t="str">
        <f aca="false">IFERROR('RESULT Q2'!G15,"-")</f>
        <v>Improvements to their latest Technology to support process at AXA </v>
      </c>
      <c r="AE22" s="32" t="str">
        <f aca="false">IFERROR('RESULT Q2'!F15,"N/A")</f>
        <v>Exceed Expectation</v>
      </c>
      <c r="AF22" s="0" t="str">
        <f aca="false">B22&amp;" - "&amp;C22</f>
        <v>REYCOM DOCUMENT SOLUTION - PRINTING &amp; DMC</v>
      </c>
      <c r="AG22" s="35" t="str">
        <f aca="false">IFERROR('RESULT Q2'!D15,"-")</f>
        <v>Yulia KURNIATI</v>
      </c>
    </row>
    <row r="23" customFormat="false" ht="32.8" hidden="false" customHeight="false" outlineLevel="0" collapsed="false">
      <c r="A23" s="32" t="n">
        <v>17</v>
      </c>
      <c r="B23" s="33" t="s">
        <v>182</v>
      </c>
      <c r="C23" s="33" t="s">
        <v>183</v>
      </c>
      <c r="D23" s="34"/>
      <c r="E23" s="32"/>
      <c r="F23" s="34"/>
      <c r="G23" s="32"/>
      <c r="H23" s="34"/>
      <c r="I23" s="32"/>
      <c r="J23" s="34"/>
      <c r="K23" s="32"/>
      <c r="L23" s="34"/>
      <c r="M23" s="32"/>
      <c r="N23" s="32"/>
      <c r="O23" s="34"/>
      <c r="P23" s="32"/>
      <c r="Q23" s="32"/>
      <c r="R23" s="34"/>
      <c r="S23" s="32"/>
      <c r="T23" s="32"/>
      <c r="U23" s="34"/>
      <c r="V23" s="32"/>
      <c r="W23" s="32"/>
      <c r="X23" s="32"/>
      <c r="Y23" s="32"/>
      <c r="Z23" s="34" t="n">
        <v>3</v>
      </c>
      <c r="AA23" s="32" t="s">
        <v>184</v>
      </c>
      <c r="AB23" s="32" t="s">
        <v>81</v>
      </c>
      <c r="AC23" s="34" t="n">
        <f aca="false">IFERROR(VALUE('RESULT Q2'!E4),"N/A")</f>
        <v>4</v>
      </c>
      <c r="AD23" s="33" t="str">
        <f aca="false">IFERROR('RESULT Q2'!G4,"-")</f>
        <v>-</v>
      </c>
      <c r="AE23" s="32" t="str">
        <f aca="false">IFERROR('RESULT Q2'!F4,"N/A")</f>
        <v>Exceed Expectation</v>
      </c>
      <c r="AF23" s="0" t="str">
        <f aca="false">B23&amp;" - "&amp;C23</f>
        <v>FPT METRODATA INDONESIA - PENETRATION TEST</v>
      </c>
      <c r="AG23" s="35" t="str">
        <f aca="false">IFERROR('RESULT Q2'!D4,"-")</f>
        <v>Fauzi ARYANTO</v>
      </c>
    </row>
    <row r="24" customFormat="false" ht="32.8" hidden="false" customHeight="false" outlineLevel="0" collapsed="false">
      <c r="A24" s="32" t="n">
        <v>18</v>
      </c>
      <c r="B24" s="33" t="s">
        <v>185</v>
      </c>
      <c r="C24" s="33" t="s">
        <v>183</v>
      </c>
      <c r="D24" s="34"/>
      <c r="E24" s="32"/>
      <c r="F24" s="34"/>
      <c r="G24" s="32"/>
      <c r="H24" s="34"/>
      <c r="I24" s="32"/>
      <c r="J24" s="34"/>
      <c r="K24" s="32"/>
      <c r="L24" s="34"/>
      <c r="M24" s="32"/>
      <c r="N24" s="32"/>
      <c r="O24" s="34"/>
      <c r="P24" s="32"/>
      <c r="Q24" s="32"/>
      <c r="R24" s="34"/>
      <c r="S24" s="32"/>
      <c r="T24" s="32"/>
      <c r="U24" s="34"/>
      <c r="V24" s="32"/>
      <c r="W24" s="32"/>
      <c r="X24" s="32"/>
      <c r="Y24" s="32"/>
      <c r="Z24" s="34" t="n">
        <v>4</v>
      </c>
      <c r="AA24" s="32" t="s">
        <v>186</v>
      </c>
      <c r="AB24" s="32" t="s">
        <v>81</v>
      </c>
      <c r="AC24" s="34" t="n">
        <f aca="false">IFERROR(VALUE('RESULT Q2'!E3),"N/A")</f>
        <v>4</v>
      </c>
      <c r="AD24" s="33" t="str">
        <f aca="false">IFERROR('RESULT Q2'!G3,"-")</f>
        <v>-</v>
      </c>
      <c r="AE24" s="32" t="str">
        <f aca="false">IFERROR('RESULT Q2'!F3,"N/A")</f>
        <v>Exceed Expectation</v>
      </c>
      <c r="AF24" s="0" t="str">
        <f aca="false">B24&amp;" - "&amp;C24</f>
        <v>IPROTEKSI TELEMATIKA - PENETRATION TEST</v>
      </c>
      <c r="AG24" s="35" t="str">
        <f aca="false">IFERROR('RESULT Q2'!D3,"-")</f>
        <v>Fauzi ARYANTO</v>
      </c>
    </row>
    <row r="25" customFormat="false" ht="32.8" hidden="false" customHeight="false" outlineLevel="0" collapsed="false">
      <c r="A25" s="32" t="n">
        <v>19</v>
      </c>
      <c r="B25" s="33" t="s">
        <v>187</v>
      </c>
      <c r="C25" s="33" t="s">
        <v>183</v>
      </c>
      <c r="D25" s="34"/>
      <c r="E25" s="32"/>
      <c r="F25" s="34"/>
      <c r="G25" s="32"/>
      <c r="H25" s="34"/>
      <c r="I25" s="32"/>
      <c r="J25" s="34"/>
      <c r="K25" s="32"/>
      <c r="L25" s="34"/>
      <c r="M25" s="32"/>
      <c r="N25" s="32"/>
      <c r="O25" s="34"/>
      <c r="P25" s="32"/>
      <c r="Q25" s="32"/>
      <c r="R25" s="34"/>
      <c r="S25" s="32"/>
      <c r="T25" s="32"/>
      <c r="U25" s="34"/>
      <c r="V25" s="32"/>
      <c r="W25" s="32"/>
      <c r="X25" s="32"/>
      <c r="Y25" s="32"/>
      <c r="Z25" s="34" t="n">
        <v>3</v>
      </c>
      <c r="AA25" s="32" t="s">
        <v>188</v>
      </c>
      <c r="AB25" s="32" t="s">
        <v>81</v>
      </c>
      <c r="AC25" s="34" t="n">
        <f aca="false">IFERROR(VALUE('RESULT Q2'!E2),"N/A")</f>
        <v>3</v>
      </c>
      <c r="AD25" s="33" t="str">
        <f aca="false">IFERROR('RESULT Q2'!G2,"-")</f>
        <v>-</v>
      </c>
      <c r="AE25" s="32" t="str">
        <f aca="false">IFERROR('RESULT Q2'!F2,"N/A")</f>
        <v>Meet Expectation</v>
      </c>
      <c r="AF25" s="0" t="str">
        <f aca="false">B25&amp;" - "&amp;C25</f>
        <v>ITSEC ASIA - PENETRATION TEST</v>
      </c>
      <c r="AG25" s="35" t="str">
        <f aca="false">IFERROR('RESULT Q2'!D2,"-")</f>
        <v>Fauzi ARYANTO</v>
      </c>
    </row>
    <row r="26" customFormat="false" ht="502.2" hidden="false" customHeight="false" outlineLevel="0" collapsed="false">
      <c r="A26" s="36" t="n">
        <v>20</v>
      </c>
      <c r="B26" s="37" t="s">
        <v>189</v>
      </c>
      <c r="C26" s="37" t="s">
        <v>190</v>
      </c>
      <c r="D26" s="36" t="s">
        <v>127</v>
      </c>
      <c r="E26" s="36" t="s">
        <v>89</v>
      </c>
      <c r="F26" s="36" t="s">
        <v>127</v>
      </c>
      <c r="G26" s="36" t="s">
        <v>89</v>
      </c>
      <c r="H26" s="36" t="s">
        <v>127</v>
      </c>
      <c r="I26" s="36" t="s">
        <v>89</v>
      </c>
      <c r="J26" s="36" t="s">
        <v>127</v>
      </c>
      <c r="K26" s="36" t="s">
        <v>89</v>
      </c>
      <c r="L26" s="36" t="s">
        <v>127</v>
      </c>
      <c r="M26" s="36" t="s">
        <v>89</v>
      </c>
      <c r="N26" s="36" t="s">
        <v>127</v>
      </c>
      <c r="O26" s="36" t="s">
        <v>127</v>
      </c>
      <c r="P26" s="36" t="s">
        <v>89</v>
      </c>
      <c r="Q26" s="36" t="s">
        <v>127</v>
      </c>
      <c r="R26" s="36" t="s">
        <v>127</v>
      </c>
      <c r="S26" s="36" t="s">
        <v>89</v>
      </c>
      <c r="T26" s="36" t="s">
        <v>127</v>
      </c>
      <c r="U26" s="36" t="s">
        <v>127</v>
      </c>
      <c r="V26" s="36" t="s">
        <v>89</v>
      </c>
      <c r="W26" s="36" t="s">
        <v>127</v>
      </c>
      <c r="X26" s="36" t="s">
        <v>127</v>
      </c>
      <c r="Y26" s="36" t="s">
        <v>127</v>
      </c>
      <c r="Z26" s="36" t="s">
        <v>127</v>
      </c>
      <c r="AA26" s="36" t="s">
        <v>89</v>
      </c>
      <c r="AB26" s="36" t="s">
        <v>127</v>
      </c>
      <c r="AC26" s="38" t="n">
        <f aca="false">IFERROR(VALUE('RESULT Q2'!E20),"N/A")</f>
        <v>3.44583333333333</v>
      </c>
      <c r="AD26" s="37" t="str">
        <f aca="false">IFERROR('RESULT Q2'!G20,"-")</f>
        <v>1. KPSG-ARSI Perspective (The approach applied is still limited to best practices without considering the scenarios occurring in AMFS).
2. Requirement Gap (There is a significant requirement gap due to missed requirements, caused by insufficient exploration of user needs and requirements)
3. Frequent Manpower (MP) and PIC Changes (Manpower changes occur quite frequently, while the implementation team is no longer on-site. The PIC from KPSG also changes often. It is requested that a dedicated PIC be provided for IT Support as well as a dedicated Project Manager)
4. Deployment Issues (Each deployment consistently results in new issues that impact areas outside the deployment scope. This indicates a lack of proper health checks after deployment).
5. Deployment Communication (Communication regarding deployment plans is still lacking, particularly in obtaining approval from business users. This matter has already been communicated by AMFS to the KPSG team).
6. Contact Center Experience (The team’s experience in contact center operations, especially inbound, remains limited).
7. Change Requests (CR) and Production Issues (Many CRs and production issues are delivered based on targets determined unilaterally by KPSG).
8. User Guide and Feature Socialization. (The User Guide is not well maintained. When new features are introduced, documentation should be updated immediately, socialized to users, and the latest User Guide shared to ensure optimal usage)</v>
      </c>
      <c r="AE26" s="36" t="str">
        <f aca="false">IFERROR('RESULT Q2'!F20,"N/A")</f>
        <v>Meet Expectation</v>
      </c>
      <c r="AF26" s="0" t="str">
        <f aca="false">B26&amp;" - "&amp;C26</f>
        <v>Karyaputra Suryagemilang - Purecloud Decommisioning</v>
      </c>
      <c r="AG26" s="35" t="str">
        <f aca="false">IFERROR('RESULT Q2'!D20,"-")</f>
        <v>Noviani MARBUN</v>
      </c>
    </row>
    <row r="27" customFormat="false" ht="283.55" hidden="false" customHeight="false" outlineLevel="0" collapsed="false">
      <c r="A27" s="36" t="n">
        <v>21</v>
      </c>
      <c r="B27" s="37" t="s">
        <v>191</v>
      </c>
      <c r="C27" s="37" t="s">
        <v>190</v>
      </c>
      <c r="D27" s="36" t="s">
        <v>127</v>
      </c>
      <c r="E27" s="36" t="s">
        <v>89</v>
      </c>
      <c r="F27" s="36" t="s">
        <v>127</v>
      </c>
      <c r="G27" s="36" t="s">
        <v>89</v>
      </c>
      <c r="H27" s="36" t="s">
        <v>127</v>
      </c>
      <c r="I27" s="36" t="s">
        <v>89</v>
      </c>
      <c r="J27" s="36" t="s">
        <v>127</v>
      </c>
      <c r="K27" s="36" t="s">
        <v>89</v>
      </c>
      <c r="L27" s="36" t="s">
        <v>127</v>
      </c>
      <c r="M27" s="36" t="s">
        <v>89</v>
      </c>
      <c r="N27" s="36" t="s">
        <v>127</v>
      </c>
      <c r="O27" s="36" t="s">
        <v>127</v>
      </c>
      <c r="P27" s="36" t="s">
        <v>89</v>
      </c>
      <c r="Q27" s="36" t="s">
        <v>127</v>
      </c>
      <c r="R27" s="36" t="s">
        <v>127</v>
      </c>
      <c r="S27" s="36" t="s">
        <v>89</v>
      </c>
      <c r="T27" s="36" t="s">
        <v>127</v>
      </c>
      <c r="U27" s="36" t="s">
        <v>127</v>
      </c>
      <c r="V27" s="36" t="s">
        <v>89</v>
      </c>
      <c r="W27" s="36" t="s">
        <v>127</v>
      </c>
      <c r="X27" s="36" t="s">
        <v>127</v>
      </c>
      <c r="Y27" s="36" t="s">
        <v>127</v>
      </c>
      <c r="Z27" s="36" t="s">
        <v>127</v>
      </c>
      <c r="AA27" s="36" t="s">
        <v>89</v>
      </c>
      <c r="AB27" s="36" t="s">
        <v>127</v>
      </c>
      <c r="AC27" s="38" t="n">
        <f aca="false">IFERROR(VALUE('RESULT Q2'!E21),"N/A")</f>
        <v>3.88333333333333</v>
      </c>
      <c r="AD27" s="37" t="str">
        <f aca="false">IFERROR('RESULT Q2'!G21,"-")</f>
        <v>1) Training Process  
During the training sessions, it is expected that explanations are delivered in detail and step by step. When participants are conducting hands-on activities, they should be properly provided with guidance and direct support. This is important to avoid unnecessary questions that could otherwise be answered clearly, ensuring that participants can immediately understand the changes and new features introduced.
2) “Baby Sitting” Phase
In the “baby sitting” phase, the MII team was expected to be present full day on-site at AMFS for two weeks. However, in practice, the team did not consistently attend and only joined full day after being specifically requested. As a result, the actual presence was only around five days instead of the full two weeks as originally required.</v>
      </c>
      <c r="AE27" s="36" t="str">
        <f aca="false">IFERROR('RESULT Q2'!F21,"N/A")</f>
        <v>Meet Expectation</v>
      </c>
      <c r="AF27" s="0" t="str">
        <f aca="false">B27&amp;" - "&amp;C27</f>
        <v>Mitra Integrasi Informatika - Purecloud Decommisioning</v>
      </c>
      <c r="AG27" s="35" t="str">
        <f aca="false">IFERROR('RESULT Q2'!D21,"-")</f>
        <v>Noviani MARBUN</v>
      </c>
    </row>
    <row r="28" customFormat="false" ht="32.8" hidden="false" customHeight="false" outlineLevel="0" collapsed="false">
      <c r="A28" s="36" t="n">
        <v>22</v>
      </c>
      <c r="B28" s="37" t="s">
        <v>192</v>
      </c>
      <c r="C28" s="37" t="s">
        <v>193</v>
      </c>
      <c r="D28" s="36" t="s">
        <v>127</v>
      </c>
      <c r="E28" s="36" t="s">
        <v>89</v>
      </c>
      <c r="F28" s="36" t="s">
        <v>127</v>
      </c>
      <c r="G28" s="36" t="s">
        <v>89</v>
      </c>
      <c r="H28" s="36" t="s">
        <v>127</v>
      </c>
      <c r="I28" s="36" t="s">
        <v>89</v>
      </c>
      <c r="J28" s="36" t="s">
        <v>127</v>
      </c>
      <c r="K28" s="36" t="s">
        <v>89</v>
      </c>
      <c r="L28" s="36" t="s">
        <v>127</v>
      </c>
      <c r="M28" s="36" t="s">
        <v>89</v>
      </c>
      <c r="N28" s="36" t="s">
        <v>127</v>
      </c>
      <c r="O28" s="36" t="s">
        <v>127</v>
      </c>
      <c r="P28" s="36" t="s">
        <v>89</v>
      </c>
      <c r="Q28" s="36" t="s">
        <v>127</v>
      </c>
      <c r="R28" s="36" t="s">
        <v>127</v>
      </c>
      <c r="S28" s="36" t="s">
        <v>89</v>
      </c>
      <c r="T28" s="36" t="s">
        <v>127</v>
      </c>
      <c r="U28" s="36" t="s">
        <v>127</v>
      </c>
      <c r="V28" s="36" t="s">
        <v>89</v>
      </c>
      <c r="W28" s="36" t="s">
        <v>127</v>
      </c>
      <c r="X28" s="36" t="s">
        <v>127</v>
      </c>
      <c r="Y28" s="36" t="s">
        <v>127</v>
      </c>
      <c r="Z28" s="36" t="s">
        <v>127</v>
      </c>
      <c r="AA28" s="36" t="s">
        <v>89</v>
      </c>
      <c r="AB28" s="36" t="s">
        <v>127</v>
      </c>
      <c r="AC28" s="38" t="n">
        <f aca="false">IFERROR(VALUE('RESULT Q2'!E22),"N/A")</f>
        <v>4.60833333333333</v>
      </c>
      <c r="AD28" s="37" t="str">
        <f aca="false">IFERROR('RESULT Q2'!G22,"-")</f>
        <v>N/A</v>
      </c>
      <c r="AE28" s="36" t="str">
        <f aca="false">IFERROR('RESULT Q2'!F22,"N/A")</f>
        <v>Exceed Expectation</v>
      </c>
      <c r="AF28" s="0" t="str">
        <f aca="false">B28&amp;" - "&amp;C28</f>
        <v>ESHAEL Indonesia - Talent Assesment</v>
      </c>
      <c r="AG28" s="35" t="str">
        <f aca="false">IFERROR('RESULT Q2'!D22,"-")</f>
        <v>I Gusti Ayu Mira SETYAWARDHANIE</v>
      </c>
    </row>
  </sheetData>
  <mergeCells count="21">
    <mergeCell ref="A1:AE1"/>
    <mergeCell ref="A2:AE2"/>
    <mergeCell ref="A4:A6"/>
    <mergeCell ref="B4:B6"/>
    <mergeCell ref="C4:C6"/>
    <mergeCell ref="D4:K4"/>
    <mergeCell ref="L4:T4"/>
    <mergeCell ref="U4:U6"/>
    <mergeCell ref="V4:V6"/>
    <mergeCell ref="W4:AB4"/>
    <mergeCell ref="AC4:AE4"/>
    <mergeCell ref="D5:E5"/>
    <mergeCell ref="F5:G5"/>
    <mergeCell ref="H5:I5"/>
    <mergeCell ref="J5:K5"/>
    <mergeCell ref="L5:N5"/>
    <mergeCell ref="O5:Q5"/>
    <mergeCell ref="R5:T5"/>
    <mergeCell ref="W5:Y5"/>
    <mergeCell ref="Z5:AB5"/>
    <mergeCell ref="AC5:AE5"/>
  </mergeCells>
  <conditionalFormatting sqref="D7:D28">
    <cfRule type="colorScale" priority="2">
      <colorScale>
        <cfvo type="num" val="1.9"/>
        <cfvo type="num" val="3"/>
        <cfvo type="num" val="5"/>
        <color rgb="FFF8696B"/>
        <color rgb="FFFFEB84"/>
        <color rgb="FF63BE7B"/>
      </colorScale>
    </cfRule>
  </conditionalFormatting>
  <conditionalFormatting sqref="F7:F28">
    <cfRule type="colorScale" priority="3">
      <colorScale>
        <cfvo type="num" val="1.9"/>
        <cfvo type="num" val="3"/>
        <cfvo type="num" val="5"/>
        <color rgb="FFF8696B"/>
        <color rgb="FFFFEB84"/>
        <color rgb="FF63BE7B"/>
      </colorScale>
    </cfRule>
  </conditionalFormatting>
  <conditionalFormatting sqref="H7:H28">
    <cfRule type="colorScale" priority="4">
      <colorScale>
        <cfvo type="num" val="1.9"/>
        <cfvo type="num" val="3"/>
        <cfvo type="num" val="5"/>
        <color rgb="FFF8696B"/>
        <color rgb="FFFFEB84"/>
        <color rgb="FF63BE7B"/>
      </colorScale>
    </cfRule>
  </conditionalFormatting>
  <conditionalFormatting sqref="J7:J28">
    <cfRule type="colorScale" priority="5">
      <colorScale>
        <cfvo type="num" val="1.9"/>
        <cfvo type="num" val="3"/>
        <cfvo type="num" val="5"/>
        <color rgb="FFF8696B"/>
        <color rgb="FFFFEB84"/>
        <color rgb="FF63BE7B"/>
      </colorScale>
    </cfRule>
  </conditionalFormatting>
  <conditionalFormatting sqref="L7:L28">
    <cfRule type="colorScale" priority="6">
      <colorScale>
        <cfvo type="num" val="1.9"/>
        <cfvo type="num" val="3"/>
        <cfvo type="num" val="5"/>
        <color rgb="FFF8696B"/>
        <color rgb="FFFFEB84"/>
        <color rgb="FF63BE7B"/>
      </colorScale>
    </cfRule>
  </conditionalFormatting>
  <conditionalFormatting sqref="O7:O28">
    <cfRule type="colorScale" priority="7">
      <colorScale>
        <cfvo type="num" val="1.9"/>
        <cfvo type="num" val="3"/>
        <cfvo type="num" val="5"/>
        <color rgb="FFF8696B"/>
        <color rgb="FFFFEB84"/>
        <color rgb="FF63BE7B"/>
      </colorScale>
    </cfRule>
  </conditionalFormatting>
  <conditionalFormatting sqref="R7:R28">
    <cfRule type="colorScale" priority="8">
      <colorScale>
        <cfvo type="num" val="1.9"/>
        <cfvo type="num" val="3"/>
        <cfvo type="num" val="5"/>
        <color rgb="FFF8696B"/>
        <color rgb="FFFFEB84"/>
        <color rgb="FF63BE7B"/>
      </colorScale>
    </cfRule>
  </conditionalFormatting>
  <conditionalFormatting sqref="W7:W28">
    <cfRule type="colorScale" priority="9">
      <colorScale>
        <cfvo type="num" val="1.9"/>
        <cfvo type="num" val="3"/>
        <cfvo type="num" val="5"/>
        <color rgb="FFF8696B"/>
        <color rgb="FFFFEB84"/>
        <color rgb="FF63BE7B"/>
      </colorScale>
    </cfRule>
  </conditionalFormatting>
  <conditionalFormatting sqref="Z7:Z28">
    <cfRule type="colorScale" priority="10">
      <colorScale>
        <cfvo type="num" val="1.9"/>
        <cfvo type="num" val="3"/>
        <cfvo type="num" val="5"/>
        <color rgb="FFF8696B"/>
        <color rgb="FFFFEB84"/>
        <color rgb="FF63BE7B"/>
      </colorScale>
    </cfRule>
  </conditionalFormatting>
  <conditionalFormatting sqref="AC7:AC28">
    <cfRule type="colorScale" priority="11">
      <colorScale>
        <cfvo type="num" val="1.9"/>
        <cfvo type="num" val="3"/>
        <cfvo type="num" val="5"/>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55"/>
  </cols>
  <sheetData>
    <row r="1" customFormat="false" ht="17.35" hidden="false" customHeight="false" outlineLevel="0" collapsed="false">
      <c r="A1" s="39" t="s">
        <v>194</v>
      </c>
      <c r="B1" s="39"/>
    </row>
    <row r="2" customFormat="false" ht="15" hidden="false" customHeight="false" outlineLevel="0" collapsed="false">
      <c r="A2" s="40" t="s">
        <v>195</v>
      </c>
      <c r="B2" s="41" t="s">
        <v>196</v>
      </c>
    </row>
    <row r="3" customFormat="false" ht="15" hidden="false" customHeight="false" outlineLevel="0" collapsed="false">
      <c r="A3" s="40" t="s">
        <v>197</v>
      </c>
      <c r="B3" s="41" t="n">
        <f aca="false">COUNTA('RESULT Q2'!B2:B22)</f>
        <v>21</v>
      </c>
    </row>
    <row r="4" customFormat="false" ht="15" hidden="false" customHeight="false" outlineLevel="0" collapsed="false">
      <c r="A4" s="40" t="s">
        <v>198</v>
      </c>
      <c r="B4" s="42" t="n">
        <v>22</v>
      </c>
    </row>
    <row r="5" customFormat="false" ht="15" hidden="false" customHeight="false" outlineLevel="0" collapsed="false">
      <c r="A5" s="40" t="s">
        <v>199</v>
      </c>
      <c r="B5" s="43" t="n">
        <f aca="false">B3/B4</f>
        <v>0.954545454545455</v>
      </c>
    </row>
    <row r="6" customFormat="false" ht="15" hidden="false" customHeight="false" outlineLevel="0" collapsed="false">
      <c r="A6" s="40" t="s">
        <v>200</v>
      </c>
      <c r="B6" s="41" t="n">
        <f aca="false">SUMPRODUCT(--(('RESULT Q2'!F2:F23&lt;&gt;"Below Expectation")*('RESULT Q2'!F2:F23&lt;&gt;"Unsatisfactory")*('RESULT Q2'!F2:F23&lt;&gt;"Tidak Dievaluasi Q2")))</f>
        <v>20</v>
      </c>
    </row>
    <row r="7" customFormat="false" ht="15" hidden="false" customHeight="false" outlineLevel="0" collapsed="false">
      <c r="A7" s="40" t="s">
        <v>201</v>
      </c>
      <c r="B7" s="41" t="n">
        <f aca="false">COUNTIF('RESULT Q2'!F2:F23,"Below Expectation")+COUNTIF('RESULT Q2'!F2:F23,"Unsatisfactory")</f>
        <v>1</v>
      </c>
    </row>
    <row r="8" customFormat="false" ht="15" hidden="false" customHeight="false" outlineLevel="0" collapsed="false">
      <c r="A8" s="40" t="s">
        <v>202</v>
      </c>
      <c r="B8" s="41" t="n">
        <f aca="false">COUNTIF('RESULT Q2'!F2:F23,"Tidak Dievaluasi Q2")</f>
        <v>1</v>
      </c>
    </row>
    <row r="9" customFormat="false" ht="15" hidden="false" customHeight="false" outlineLevel="0" collapsed="false">
      <c r="A9" s="40" t="s">
        <v>203</v>
      </c>
      <c r="B9" s="41" t="str">
        <f aca="false">_xlfn.TEXTJOIN(", ",TRUE(),'RESULT Q2'!I2:I23)</f>
        <v>Target Sukses Sinergi - Email Marketing Automation</v>
      </c>
    </row>
    <row r="10" customFormat="false" ht="39.55" hidden="false" customHeight="false" outlineLevel="0" collapsed="false">
      <c r="A10" s="40" t="s">
        <v>204</v>
      </c>
      <c r="B10" s="41" t="s">
        <v>205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30"/>
    <col collapsed="false" customWidth="true" hidden="false" outlineLevel="0" max="4" min="4" style="0" width="24"/>
    <col collapsed="false" customWidth="true" hidden="false" outlineLevel="0" max="5" min="5" style="0" width="12"/>
    <col collapsed="false" customWidth="true" hidden="false" outlineLevel="0" max="6" min="6" style="0" width="18"/>
    <col collapsed="false" customWidth="true" hidden="false" outlineLevel="0" max="7" min="7" style="0" width="40"/>
    <col collapsed="false" customWidth="true" hidden="false" outlineLevel="0" max="8" min="8" style="0" width="45"/>
  </cols>
  <sheetData>
    <row r="1" customFormat="false" ht="15" hidden="false" customHeight="false" outlineLevel="0" collapsed="false">
      <c r="A1" s="44" t="s">
        <v>52</v>
      </c>
      <c r="B1" s="44" t="s">
        <v>28</v>
      </c>
      <c r="C1" s="44" t="s">
        <v>29</v>
      </c>
      <c r="D1" s="44" t="s">
        <v>206</v>
      </c>
      <c r="E1" s="44" t="s">
        <v>207</v>
      </c>
      <c r="F1" s="44" t="s">
        <v>38</v>
      </c>
      <c r="G1" s="44" t="s">
        <v>65</v>
      </c>
      <c r="H1" s="44" t="s">
        <v>208</v>
      </c>
      <c r="I1" s="45" t="s">
        <v>209</v>
      </c>
    </row>
    <row r="2" customFormat="false" ht="15" hidden="false" customHeight="false" outlineLevel="0" collapsed="false">
      <c r="A2" s="46" t="n">
        <v>1</v>
      </c>
      <c r="B2" s="46" t="s">
        <v>210</v>
      </c>
      <c r="C2" s="47" t="s">
        <v>211</v>
      </c>
      <c r="D2" s="47" t="s">
        <v>212</v>
      </c>
      <c r="E2" s="48" t="n">
        <f aca="false">'Q2 ITSEC'!B20</f>
        <v>3</v>
      </c>
      <c r="F2" s="46" t="str">
        <f aca="false">'Q2 ITSEC'!B21</f>
        <v>Meet Expectation</v>
      </c>
      <c r="G2" s="47" t="str">
        <f aca="false">'Q2 ITSEC'!B32</f>
        <v>-</v>
      </c>
      <c r="H2" s="47"/>
      <c r="I2" s="0" t="str">
        <f aca="false">IF(OR(F2="Below Expectation",F2="Unsatisfactory"),B2&amp;" - "&amp;C2,"")</f>
        <v/>
      </c>
    </row>
    <row r="3" customFormat="false" ht="15" hidden="false" customHeight="false" outlineLevel="0" collapsed="false">
      <c r="A3" s="46" t="n">
        <v>2</v>
      </c>
      <c r="B3" s="46" t="s">
        <v>213</v>
      </c>
      <c r="C3" s="47" t="s">
        <v>211</v>
      </c>
      <c r="D3" s="47" t="s">
        <v>212</v>
      </c>
      <c r="E3" s="48" t="n">
        <f aca="false">'Q2 IPROTEKSI'!B20</f>
        <v>4</v>
      </c>
      <c r="F3" s="46" t="str">
        <f aca="false">'Q2 IPROTEKSI'!B21</f>
        <v>Exceed Expectation</v>
      </c>
      <c r="G3" s="47" t="str">
        <f aca="false">'Q2 IPROTEKSI'!B32</f>
        <v>-</v>
      </c>
      <c r="H3" s="47"/>
      <c r="I3" s="0" t="str">
        <f aca="false">IF(OR(F3="Below Expectation",F3="Unsatisfactory"),B3&amp;" - "&amp;C3,"")</f>
        <v/>
      </c>
    </row>
    <row r="4" customFormat="false" ht="15" hidden="false" customHeight="false" outlineLevel="0" collapsed="false">
      <c r="A4" s="46" t="n">
        <v>3</v>
      </c>
      <c r="B4" s="46" t="s">
        <v>214</v>
      </c>
      <c r="C4" s="47" t="s">
        <v>211</v>
      </c>
      <c r="D4" s="47" t="s">
        <v>212</v>
      </c>
      <c r="E4" s="48" t="n">
        <f aca="false">'Q2 FPT'!B20</f>
        <v>4</v>
      </c>
      <c r="F4" s="46" t="str">
        <f aca="false">'Q2 FPT'!B21</f>
        <v>Exceed Expectation</v>
      </c>
      <c r="G4" s="47" t="str">
        <f aca="false">'Q2 FPT'!B32</f>
        <v>-</v>
      </c>
      <c r="H4" s="47"/>
      <c r="I4" s="0" t="str">
        <f aca="false">IF(OR(F4="Below Expectation",F4="Unsatisfactory"),B4&amp;" - "&amp;C4,"")</f>
        <v/>
      </c>
    </row>
    <row r="5" customFormat="false" ht="15" hidden="false" customHeight="false" outlineLevel="0" collapsed="false">
      <c r="A5" s="46" t="n">
        <v>4</v>
      </c>
      <c r="B5" s="46" t="s">
        <v>215</v>
      </c>
      <c r="C5" s="47" t="s">
        <v>216</v>
      </c>
      <c r="D5" s="47" t="s">
        <v>217</v>
      </c>
      <c r="E5" s="48" t="n">
        <f aca="false">'Q2 SAP-Mailing'!B25</f>
        <v>3.04375</v>
      </c>
      <c r="F5" s="46" t="str">
        <f aca="false">'Q2 SAP-Mailing'!B26</f>
        <v>Meet Expectation</v>
      </c>
      <c r="G5" s="47" t="str">
        <f aca="false">'Q2 SAP-Mailing'!B37</f>
        <v>improve inisiatsis</v>
      </c>
      <c r="H5" s="47"/>
      <c r="I5" s="0" t="str">
        <f aca="false">IF(OR(F5="Below Expectation",F5="Unsatisfactory"),B5&amp;" - "&amp;C5,"")</f>
        <v/>
      </c>
    </row>
    <row r="6" customFormat="false" ht="52.2" hidden="false" customHeight="false" outlineLevel="0" collapsed="false">
      <c r="A6" s="46" t="n">
        <v>5</v>
      </c>
      <c r="B6" s="46" t="s">
        <v>218</v>
      </c>
      <c r="C6" s="47"/>
      <c r="D6" s="47" t="s">
        <v>219</v>
      </c>
      <c r="E6" s="48" t="n">
        <f aca="false">'Q2 JATIS'!B29</f>
        <v>3</v>
      </c>
      <c r="F6" s="46" t="str">
        <f aca="false">'Q2 JATIS'!B30</f>
        <v>Meet Expectation</v>
      </c>
      <c r="G6" s="47" t="str">
        <f aca="false">'Q2 JATIS'!B41</f>
        <v>So far, Jatis Vendor has provided good service. Their response time is fast, and they are able to provide effective solutions whenever issues arise</v>
      </c>
      <c r="H6" s="47"/>
      <c r="I6" s="0" t="str">
        <f aca="false">IF(OR(F6="Below Expectation",F6="Unsatisfactory"),B6&amp;" - "&amp;C6,"")</f>
        <v/>
      </c>
    </row>
    <row r="7" customFormat="false" ht="191.75" hidden="false" customHeight="false" outlineLevel="0" collapsed="false">
      <c r="A7" s="46" t="n">
        <v>6</v>
      </c>
      <c r="B7" s="46" t="s">
        <v>215</v>
      </c>
      <c r="C7" s="47" t="s">
        <v>220</v>
      </c>
      <c r="D7" s="47" t="s">
        <v>221</v>
      </c>
      <c r="E7" s="48" t="n">
        <f aca="false">'Q2 SAP-Courier'!B33</f>
        <v>3.23833333333333</v>
      </c>
      <c r="F7" s="46" t="str">
        <f aca="false">'Q2 SAP-Courier'!B34</f>
        <v>Meet Expectation</v>
      </c>
      <c r="G7" s="47" t="str">
        <f aca="false">'Q2 SAP-Courier'!B47&amp;" | "&amp;'Q2 SAP-Courier'!B48</f>
        <v>SAP has shown improvement in terms of reporting and provides a fast response whenever issues arise. | 1. untuk detail status pengiriman dokumen/barang harus diberikan keterangan penerima dengan lengkap dan jelas;
2. Maks. SLA pengiriman harus memenuhi sesuai dengan yang ditetapkan yaitu &lt;5% not meet SLA;
3. Invoice biaya pengiriman dikirimkan ke user yang sesuai dan dikirimkan tidak melebihi periode yang ditetapkan.
4. Report Stock sesuai dengan real stock di warehouse.
</v>
      </c>
      <c r="H7" s="47" t="s">
        <v>222</v>
      </c>
      <c r="I7" s="0" t="str">
        <f aca="false">IF(OR(F7="Below Expectation",F7="Unsatisfactory"),B7&amp;" - "&amp;C7,"")</f>
        <v/>
      </c>
    </row>
    <row r="8" customFormat="false" ht="15" hidden="false" customHeight="false" outlineLevel="0" collapsed="false">
      <c r="A8" s="46" t="n">
        <v>7</v>
      </c>
      <c r="B8" s="46" t="s">
        <v>223</v>
      </c>
      <c r="C8" s="47" t="s">
        <v>224</v>
      </c>
      <c r="D8" s="47" t="s">
        <v>217</v>
      </c>
      <c r="E8" s="48" t="n">
        <f aca="false">'Q2 MMI'!B29</f>
        <v>3</v>
      </c>
      <c r="F8" s="46" t="str">
        <f aca="false">'Q2 MMI'!B30</f>
        <v>Meet Expectation</v>
      </c>
      <c r="G8" s="47" t="str">
        <f aca="false">'Q2 MMI'!B41</f>
        <v>..</v>
      </c>
      <c r="H8" s="47"/>
      <c r="I8" s="0" t="str">
        <f aca="false">IF(OR(F8="Below Expectation",F8="Unsatisfactory"),B8&amp;" - "&amp;C8,"")</f>
        <v/>
      </c>
    </row>
    <row r="9" customFormat="false" ht="128.35" hidden="false" customHeight="false" outlineLevel="0" collapsed="false">
      <c r="A9" s="46" t="n">
        <v>8</v>
      </c>
      <c r="B9" s="46" t="s">
        <v>225</v>
      </c>
      <c r="C9" s="47" t="s">
        <v>226</v>
      </c>
      <c r="D9" s="47" t="s">
        <v>227</v>
      </c>
      <c r="E9" s="48" t="n">
        <f aca="false">'Q2 INDOSAT'!B36</f>
        <v>3.43947368421053</v>
      </c>
      <c r="F9" s="46" t="str">
        <f aca="false">'Q2 INDOSAT'!B37</f>
        <v>Meet Expectation</v>
      </c>
      <c r="G9" s="47" t="str">
        <f aca="false">'Q2 INDOSAT'!B48</f>
        <v>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v>
      </c>
      <c r="H9" s="47"/>
      <c r="I9" s="0" t="str">
        <f aca="false">IF(OR(F9="Below Expectation",F9="Unsatisfactory"),B9&amp;" - "&amp;C9,"")</f>
        <v/>
      </c>
    </row>
    <row r="10" customFormat="false" ht="26.85" hidden="false" customHeight="false" outlineLevel="0" collapsed="false">
      <c r="A10" s="46" t="n">
        <v>9</v>
      </c>
      <c r="B10" s="46" t="s">
        <v>228</v>
      </c>
      <c r="C10" s="47" t="s">
        <v>229</v>
      </c>
      <c r="D10" s="47" t="s">
        <v>230</v>
      </c>
      <c r="E10" s="48" t="n">
        <f aca="false">'Q2 CIPTADRA'!B32</f>
        <v>4.3</v>
      </c>
      <c r="F10" s="46" t="str">
        <f aca="false">'Q2 CIPTADRA'!B33</f>
        <v>Exceed Expectation</v>
      </c>
      <c r="G10" s="47" t="str">
        <f aca="false">'Q2 CIPTADRA'!B44</f>
        <v>Ciptadra selalu fast response ketika ada incident yang terjadi di DMTM</v>
      </c>
      <c r="H10" s="47"/>
      <c r="I10" s="0" t="str">
        <f aca="false">IF(OR(F10="Below Expectation",F10="Unsatisfactory"),B10&amp;" - "&amp;C10,"")</f>
        <v/>
      </c>
    </row>
    <row r="11" customFormat="false" ht="191.75" hidden="false" customHeight="false" outlineLevel="0" collapsed="false">
      <c r="A11" s="46" t="n">
        <v>10</v>
      </c>
      <c r="B11" s="46" t="s">
        <v>231</v>
      </c>
      <c r="C11" s="47" t="s">
        <v>232</v>
      </c>
      <c r="D11" s="47" t="s">
        <v>233</v>
      </c>
      <c r="E11" s="48" t="n">
        <f aca="false">'Q2 MTARGET'!B23</f>
        <v>2.94166666666667</v>
      </c>
      <c r="F11" s="46" t="str">
        <f aca="false">'Q2 MTARGET'!B24</f>
        <v>Below Expectation</v>
      </c>
      <c r="G11" s="47" t="str">
        <f aca="false">'Q2 MTARGET'!B35</f>
        <v>Secara keseluruhan, MTarget telah memberikan dukungan yang baik dalam operasional email campaign dan responsif dalam menangani kebutuhan maupun isu yang muncul. Namun, insiden kesalahan pengiriman email yang terjadi menunjukkan perlunya penguatan pada proses deployment, pengujian, serta validasi sebelum implementasi ke production. Ke depannya, kami berharap MTarget dapat memperkuat proses change management, quality assurance, dan kontrol terhadap segmentasi serta pengiriman email untuk meminimalkan risiko terjadinya insiden serupa.</v>
      </c>
      <c r="H11" s="47"/>
      <c r="I11" s="0" t="str">
        <f aca="false">IF(OR(F11="Below Expectation",F11="Unsatisfactory"),B11&amp;" - "&amp;C11,"")</f>
        <v>Target Sukses Sinergi - Email Marketing Automation</v>
      </c>
    </row>
    <row r="12" customFormat="false" ht="26.85" hidden="false" customHeight="false" outlineLevel="0" collapsed="false">
      <c r="A12" s="46" t="n">
        <v>11</v>
      </c>
      <c r="B12" s="46" t="s">
        <v>234</v>
      </c>
      <c r="C12" s="47" t="s">
        <v>235</v>
      </c>
      <c r="D12" s="47" t="s">
        <v>236</v>
      </c>
      <c r="E12" s="48" t="n">
        <f aca="false">'Q2 INMOTION'!B54</f>
        <v>4</v>
      </c>
      <c r="F12" s="46" t="str">
        <f aca="false">'Q2 INMOTION'!B55</f>
        <v>Exceed Expectation</v>
      </c>
      <c r="G12" s="47" t="str">
        <f aca="false">'Q2 INMOTION'!B66</f>
        <v>Tetap up to date dan helpful</v>
      </c>
      <c r="H12" s="47"/>
      <c r="I12" s="0" t="str">
        <f aca="false">IF(OR(F12="Below Expectation",F12="Unsatisfactory"),B12&amp;" - "&amp;C12,"")</f>
        <v/>
      </c>
    </row>
    <row r="13" customFormat="false" ht="128.35" hidden="false" customHeight="false" outlineLevel="0" collapsed="false">
      <c r="A13" s="46" t="n">
        <v>12</v>
      </c>
      <c r="B13" s="46" t="s">
        <v>191</v>
      </c>
      <c r="C13" s="47" t="s">
        <v>237</v>
      </c>
      <c r="D13" s="47" t="s">
        <v>238</v>
      </c>
      <c r="E13" s="48" t="n">
        <f aca="false">'Q2 MII-SFDC'!B30</f>
        <v>4.74871794871795</v>
      </c>
      <c r="F13" s="46" t="str">
        <f aca="false">'Q2 MII-SFDC'!B31</f>
        <v>Exceed Expectation</v>
      </c>
      <c r="G13" s="47" t="str">
        <f aca="false">'Q2 MII-SFDC'!B42</f>
        <v>Respons terhadap issue maupun kebutuhan sudah cukup baik dan cepat. Support on-site juga sangat membantu dan responsif. Ke depannya, mungkin dapat lebih rutin memberikan update terkait progress kendala atau perbaikan yang sedang dilakukan, sehingga pihak terkait dapat mengetahui status terbaru dan lebih cepat menentukan langkah selanjutnya.</v>
      </c>
      <c r="H13" s="47"/>
      <c r="I13" s="0" t="str">
        <f aca="false">IF(OR(F13="Below Expectation",F13="Unsatisfactory"),B13&amp;" - "&amp;C13,"")</f>
        <v/>
      </c>
    </row>
    <row r="14" customFormat="false" ht="15" hidden="false" customHeight="false" outlineLevel="0" collapsed="false">
      <c r="A14" s="46" t="n">
        <v>13</v>
      </c>
      <c r="B14" s="46" t="s">
        <v>239</v>
      </c>
      <c r="C14" s="47" t="s">
        <v>240</v>
      </c>
      <c r="D14" s="47" t="s">
        <v>241</v>
      </c>
      <c r="E14" s="48" t="n">
        <f aca="false">'Q2 SUTRA'!B38</f>
        <v>3.33333333333333</v>
      </c>
      <c r="F14" s="46" t="str">
        <f aca="false">'Q2 SUTRA'!B39</f>
        <v>Meet Expectation</v>
      </c>
      <c r="G14" s="47" t="str">
        <f aca="false">'Q2 SUTRA'!B50</f>
        <v>no feedback</v>
      </c>
      <c r="H14" s="47"/>
      <c r="I14" s="0" t="str">
        <f aca="false">IF(OR(F14="Below Expectation",F14="Unsatisfactory"),B14&amp;" - "&amp;C14,"")</f>
        <v/>
      </c>
    </row>
    <row r="15" customFormat="false" ht="26.85" hidden="false" customHeight="false" outlineLevel="0" collapsed="false">
      <c r="A15" s="46" t="n">
        <v>14</v>
      </c>
      <c r="B15" s="46" t="s">
        <v>242</v>
      </c>
      <c r="C15" s="47" t="s">
        <v>243</v>
      </c>
      <c r="D15" s="47" t="s">
        <v>244</v>
      </c>
      <c r="E15" s="48" t="n">
        <f aca="false">'Q2 RDS-Printing'!B33</f>
        <v>4.3</v>
      </c>
      <c r="F15" s="46" t="str">
        <f aca="false">'Q2 RDS-Printing'!B34</f>
        <v>Exceed Expectation</v>
      </c>
      <c r="G15" s="47" t="str">
        <f aca="false">'Q2 RDS-Printing'!B45</f>
        <v>Improvements to their latest Technology to support process at AXA </v>
      </c>
      <c r="H15" s="47" t="s">
        <v>245</v>
      </c>
      <c r="I15" s="0" t="str">
        <f aca="false">IF(OR(F15="Below Expectation",F15="Unsatisfactory"),B15&amp;" - "&amp;C15,"")</f>
        <v/>
      </c>
    </row>
    <row r="16" customFormat="false" ht="141" hidden="false" customHeight="false" outlineLevel="0" collapsed="false">
      <c r="A16" s="46" t="n">
        <v>15</v>
      </c>
      <c r="B16" s="46" t="s">
        <v>246</v>
      </c>
      <c r="C16" s="47" t="s">
        <v>247</v>
      </c>
      <c r="D16" s="47" t="s">
        <v>248</v>
      </c>
      <c r="E16" s="48" t="n">
        <f aca="false">'Q2 DELOITTE'!B28</f>
        <v>4.06363636363636</v>
      </c>
      <c r="F16" s="46" t="str">
        <f aca="false">'Q2 DELOITTE'!B29</f>
        <v>Exceed Expectation</v>
      </c>
      <c r="G16" s="47" t="str">
        <f aca="false">'Q2 DELOITTE'!B40</f>
        <v>In dealing with Security AI-related issues, Deloitte is occasionally unable to provide a resolution and therefore redirects the matter to the Security AI team. Furthermore, several system features are restricted, and these limitations were not clearly communicated at the outset. Consequently, this has created challenges in implementing system enhancements and aligning the system with the business requirements of Security AI users.</v>
      </c>
      <c r="H16" s="47"/>
      <c r="I16" s="0" t="str">
        <f aca="false">IF(OR(F16="Below Expectation",F16="Unsatisfactory"),B16&amp;" - "&amp;C16,"")</f>
        <v/>
      </c>
    </row>
    <row r="17" customFormat="false" ht="15" hidden="false" customHeight="false" outlineLevel="0" collapsed="false">
      <c r="A17" s="46" t="n">
        <v>16</v>
      </c>
      <c r="B17" s="46" t="s">
        <v>249</v>
      </c>
      <c r="C17" s="47" t="s">
        <v>250</v>
      </c>
      <c r="D17" s="47" t="s">
        <v>251</v>
      </c>
      <c r="E17" s="48" t="n">
        <f aca="false">'Q2 TMF'!B23</f>
        <v>3</v>
      </c>
      <c r="F17" s="46" t="str">
        <f aca="false">'Q2 TMF'!B24</f>
        <v>Meet Expectation</v>
      </c>
      <c r="G17" s="47" t="str">
        <f aca="false">'Q2 TMF'!B35</f>
        <v>-</v>
      </c>
      <c r="H17" s="47"/>
      <c r="I17" s="0" t="str">
        <f aca="false">IF(OR(F17="Below Expectation",F17="Unsatisfactory"),B17&amp;" - "&amp;C17,"")</f>
        <v/>
      </c>
    </row>
    <row r="18" customFormat="false" ht="64.9" hidden="false" customHeight="false" outlineLevel="0" collapsed="false">
      <c r="A18" s="46" t="n">
        <v>17</v>
      </c>
      <c r="B18" s="46" t="s">
        <v>252</v>
      </c>
      <c r="C18" s="47" t="s">
        <v>253</v>
      </c>
      <c r="D18" s="47" t="s">
        <v>227</v>
      </c>
      <c r="E18" s="48" t="n">
        <f aca="false">'Q2 KPSG-TM'!B28</f>
        <v>3.53939393939394</v>
      </c>
      <c r="F18" s="46" t="str">
        <f aca="false">'Q2 KPSG-TM'!B29</f>
        <v>Meet Expectation</v>
      </c>
      <c r="G18" s="47" t="str">
        <f aca="false">'Q2 KPSG-TM'!B40</f>
        <v>1. For AI Implementation, KPSG need to improve the delivery time, quality and PIC availability and backup PIC support
2. Another enhancement need to speed up with dedicated team </v>
      </c>
      <c r="H18" s="47"/>
      <c r="I18" s="0" t="str">
        <f aca="false">IF(OR(F18="Below Expectation",F18="Unsatisfactory"),B18&amp;" - "&amp;C18,"")</f>
        <v/>
      </c>
    </row>
    <row r="19" customFormat="false" ht="39.55" hidden="false" customHeight="false" outlineLevel="0" collapsed="false">
      <c r="A19" s="46" t="n">
        <v>18</v>
      </c>
      <c r="B19" s="46" t="s">
        <v>254</v>
      </c>
      <c r="C19" s="47" t="s">
        <v>255</v>
      </c>
      <c r="D19" s="47" t="s">
        <v>256</v>
      </c>
      <c r="E19" s="48" t="n">
        <f aca="false">'Q2 WIZ'!B25</f>
        <v>3.0875</v>
      </c>
      <c r="F19" s="46" t="str">
        <f aca="false">'Q2 WIZ'!B26</f>
        <v>Meet Expectation</v>
      </c>
      <c r="G19" s="47" t="str">
        <f aca="false">'Q2 WIZ'!B37</f>
        <v>To ensure a smooth process, we need to move faster and maintain effective communication</v>
      </c>
      <c r="H19" s="47"/>
      <c r="I19" s="0" t="str">
        <f aca="false">IF(OR(F19="Below Expectation",F19="Unsatisfactory"),B19&amp;" - "&amp;C19,"")</f>
        <v/>
      </c>
    </row>
    <row r="20" customFormat="false" ht="534.3" hidden="false" customHeight="false" outlineLevel="0" collapsed="false">
      <c r="A20" s="46" t="n">
        <v>19</v>
      </c>
      <c r="B20" s="46" t="s">
        <v>189</v>
      </c>
      <c r="C20" s="47" t="s">
        <v>190</v>
      </c>
      <c r="D20" s="47" t="s">
        <v>257</v>
      </c>
      <c r="E20" s="48" t="n">
        <f aca="false">'Q2 KPSG-ARSI'!B34</f>
        <v>3.44583333333333</v>
      </c>
      <c r="F20" s="46" t="str">
        <f aca="false">'Q2 KPSG-ARSI'!B35</f>
        <v>Meet Expectation</v>
      </c>
      <c r="G20" s="47" t="str">
        <f aca="false">'Q2 KPSG-ARSI'!B46</f>
        <v>1. KPSG-ARSI Perspective (The approach applied is still limited to best practices without considering the scenarios occurring in AMFS).
2. Requirement Gap (There is a significant requirement gap due to missed requirements, caused by insufficient exploration of user needs and requirements)
3. Frequent Manpower (MP) and PIC Changes (Manpower changes occur quite frequently, while the implementation team is no longer on-site. The PIC from KPSG also changes often. It is requested that a dedicated PIC be provided for IT Support as well as a dedicated Project Manager)
4. Deployment Issues (Each deployment consistently results in new issues that impact areas outside the deployment scope. This indicates a lack of proper health checks after deployment).
5. Deployment Communication (Communication regarding deployment plans is still lacking, particularly in obtaining approval from business users. This matter has already been communicated by AMFS to the KPSG team).
6. Contact Center Experience (The team’s experience in contact center operations, especially inbound, remains limited).
7. Change Requests (CR) and Production Issues (Many CRs and production issues are delivered based on targets determined unilaterally by KPSG).
8. User Guide and Feature Socialization. (The User Guide is not well maintained. When new features are introduced, documentation should be updated immediately, socialized to users, and the latest User Guide shared to ensure optimal usage)</v>
      </c>
      <c r="H20" s="47" t="s">
        <v>258</v>
      </c>
      <c r="I20" s="0" t="str">
        <f aca="false">IF(OR(F20="Below Expectation",F20="Unsatisfactory"),B20&amp;" - "&amp;C20,"")</f>
        <v/>
      </c>
    </row>
    <row r="21" customFormat="false" ht="293.25" hidden="false" customHeight="false" outlineLevel="0" collapsed="false">
      <c r="A21" s="46" t="n">
        <v>20</v>
      </c>
      <c r="B21" s="46" t="s">
        <v>191</v>
      </c>
      <c r="C21" s="47" t="s">
        <v>190</v>
      </c>
      <c r="D21" s="47" t="s">
        <v>257</v>
      </c>
      <c r="E21" s="48" t="n">
        <f aca="false">'Q2 MII-Purecloud'!B30</f>
        <v>3.88333333333333</v>
      </c>
      <c r="F21" s="46" t="str">
        <f aca="false">'Q2 MII-Purecloud'!B31</f>
        <v>Meet Expectation</v>
      </c>
      <c r="G21" s="47" t="str">
        <f aca="false">'Q2 MII-Purecloud'!B42</f>
        <v>1) Training Process  
During the training sessions, it is expected that explanations are delivered in detail and step by step. When participants are conducting hands-on activities, they should be properly provided with guidance and direct support. This is important to avoid unnecessary questions that could otherwise be answered clearly, ensuring that participants can immediately understand the changes and new features introduced.
2) “Baby Sitting” Phase
In the “baby sitting” phase, the MII team was expected to be present full day on-site at AMFS for two weeks. However, in practice, the team did not consistently attend and only joined full day after being specifically requested. As a result, the actual presence was only around five days instead of the full two weeks as originally required.</v>
      </c>
      <c r="H21" s="47" t="s">
        <v>258</v>
      </c>
      <c r="I21" s="0" t="str">
        <f aca="false">IF(OR(F21="Below Expectation",F21="Unsatisfactory"),B21&amp;" - "&amp;C21,"")</f>
        <v/>
      </c>
    </row>
    <row r="22" customFormat="false" ht="52.2" hidden="false" customHeight="false" outlineLevel="0" collapsed="false">
      <c r="A22" s="46" t="n">
        <v>21</v>
      </c>
      <c r="B22" s="46" t="s">
        <v>192</v>
      </c>
      <c r="C22" s="47" t="s">
        <v>193</v>
      </c>
      <c r="D22" s="47" t="s">
        <v>259</v>
      </c>
      <c r="E22" s="48" t="n">
        <f aca="false">'Q2 ESHAEL'!B29</f>
        <v>4.60833333333333</v>
      </c>
      <c r="F22" s="46" t="str">
        <f aca="false">'Q2 ESHAEL'!B30</f>
        <v>Exceed Expectation</v>
      </c>
      <c r="G22" s="47" t="str">
        <f aca="false">'Q2 ESHAEL'!B41</f>
        <v>N/A</v>
      </c>
      <c r="H22" s="47" t="s">
        <v>258</v>
      </c>
      <c r="I22" s="0" t="str">
        <f aca="false">IF(OR(F22="Below Expectation",F22="Unsatisfactory"),B22&amp;" - "&amp;C22,"")</f>
        <v/>
      </c>
    </row>
    <row r="23" customFormat="false" ht="15" hidden="false" customHeight="false" outlineLevel="0" collapsed="false">
      <c r="A23" s="49" t="n">
        <v>22</v>
      </c>
      <c r="B23" s="49" t="s">
        <v>260</v>
      </c>
      <c r="C23" s="49" t="s">
        <v>261</v>
      </c>
      <c r="D23" s="49" t="s">
        <v>262</v>
      </c>
      <c r="E23" s="49" t="s">
        <v>127</v>
      </c>
      <c r="F23" s="49" t="s">
        <v>263</v>
      </c>
      <c r="G23" s="49" t="s">
        <v>89</v>
      </c>
      <c r="H23" s="49" t="s">
        <v>264</v>
      </c>
      <c r="I23" s="0" t="str">
        <f aca="false">IF(OR(F23="Below Expectation",F23="Unsatisfactory"),B23&amp;" - "&amp;C23,"")</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210</v>
      </c>
    </row>
    <row r="3" customFormat="false" ht="15" hidden="false" customHeight="false" outlineLevel="0" collapsed="false">
      <c r="A3" s="50" t="s">
        <v>29</v>
      </c>
      <c r="B3" s="46" t="s">
        <v>211</v>
      </c>
    </row>
    <row r="4" customFormat="false" ht="15" hidden="false" customHeight="false" outlineLevel="0" collapsed="false">
      <c r="A4" s="50" t="s">
        <v>266</v>
      </c>
      <c r="B4" s="46" t="s">
        <v>212</v>
      </c>
    </row>
    <row r="6" customFormat="false" ht="15" hidden="false" customHeight="false" outlineLevel="0" collapsed="false">
      <c r="A6" s="51" t="s">
        <v>52</v>
      </c>
      <c r="B6" s="51" t="s">
        <v>267</v>
      </c>
      <c r="C6" s="51" t="s">
        <v>268</v>
      </c>
      <c r="D6" s="51" t="s">
        <v>37</v>
      </c>
    </row>
    <row r="7" customFormat="false" ht="64.9" hidden="false" customHeight="false" outlineLevel="0" collapsed="false">
      <c r="A7" s="52" t="n">
        <v>1</v>
      </c>
      <c r="B7" s="52" t="s">
        <v>269</v>
      </c>
      <c r="C7" s="53" t="str">
        <f aca="false">'RAW DATA Q2 - 1'!ER$1</f>
        <v>How would you rate the Technical services that is used to penetrate the application which includes:
1. Technical Specification Design.
2. Hardware and capacity sizing for concurrent requests
3. Functi2</v>
      </c>
      <c r="D7" s="54" t="n">
        <f aca="false">'RAW DATA Q2 - 1'!ER10</f>
        <v>3</v>
      </c>
    </row>
    <row r="8" customFormat="false" ht="26.85" hidden="false" customHeight="false" outlineLevel="0" collapsed="false">
      <c r="A8" s="52" t="n">
        <v>2</v>
      </c>
      <c r="B8" s="52" t="s">
        <v>269</v>
      </c>
      <c r="C8" s="53" t="str">
        <f aca="false">'RAW DATA Q2 - 1'!ES$1</f>
        <v>How would you rate the after sales support capability and methodology?2</v>
      </c>
      <c r="D8" s="54" t="n">
        <f aca="false">'RAW DATA Q2 - 1'!ES10</f>
        <v>3</v>
      </c>
    </row>
    <row r="9" customFormat="false" ht="26.85" hidden="false" customHeight="false" outlineLevel="0" collapsed="false">
      <c r="A9" s="52" t="n">
        <v>3</v>
      </c>
      <c r="B9" s="52" t="s">
        <v>269</v>
      </c>
      <c r="C9" s="53" t="str">
        <f aca="false">'RAW DATA Q2 - 1'!ET$1</f>
        <v>How would you rate the availability of documentation for product (user manual, troubleshoot document, setup document, etc)?1</v>
      </c>
      <c r="D9" s="54" t="n">
        <f aca="false">'RAW DATA Q2 - 1'!ET10</f>
        <v>3</v>
      </c>
    </row>
    <row r="10" customFormat="false" ht="26.85" hidden="false" customHeight="false" outlineLevel="0" collapsed="false">
      <c r="A10" s="55" t="n">
        <v>4</v>
      </c>
      <c r="B10" s="55" t="s">
        <v>270</v>
      </c>
      <c r="C10" s="56" t="str">
        <f aca="false">'RAW DATA Q2 - 1'!EU$1</f>
        <v>How would you rate the supplier's timeliness in delivering goods/services compared to the agreed-upon timeline?</v>
      </c>
      <c r="D10" s="57" t="n">
        <f aca="false">'RAW DATA Q2 - 1'!EU10</f>
        <v>3</v>
      </c>
    </row>
    <row r="11" customFormat="false" ht="15" hidden="false" customHeight="false" outlineLevel="0" collapsed="false">
      <c r="A11" s="55" t="n">
        <v>5</v>
      </c>
      <c r="B11" s="55" t="s">
        <v>270</v>
      </c>
      <c r="C11" s="56" t="str">
        <f aca="false">'RAW DATA Q2 - 1'!EV$1</f>
        <v>How would you rate the supplier's timeliness in sending reports to you?</v>
      </c>
      <c r="D11" s="57" t="n">
        <f aca="false">'RAW DATA Q2 - 1'!EV10</f>
        <v>3</v>
      </c>
    </row>
    <row r="12" customFormat="false" ht="26.85" hidden="false" customHeight="false" outlineLevel="0" collapsed="false">
      <c r="A12" s="55" t="n">
        <v>6</v>
      </c>
      <c r="B12" s="55" t="s">
        <v>270</v>
      </c>
      <c r="C12" s="56" t="str">
        <f aca="false">'RAW DATA Q2 - 1'!EW$1</f>
        <v>How would you rate the supplier's speed ​​of administrative completion, including completion of contracts draft?</v>
      </c>
      <c r="D12" s="57" t="n">
        <f aca="false">'RAW DATA Q2 - 1'!EW10</f>
        <v>3</v>
      </c>
    </row>
    <row r="13" customFormat="false" ht="15" hidden="false" customHeight="false" outlineLevel="0" collapsed="false">
      <c r="A13" s="58" t="n">
        <v>7</v>
      </c>
      <c r="B13" s="58" t="s">
        <v>271</v>
      </c>
      <c r="C13" s="59" t="str">
        <f aca="false">'RAW DATA Q2 - 1'!FM$1</f>
        <v>How would you rate the supplier's communication with you?</v>
      </c>
      <c r="D13" s="60" t="n">
        <f aca="false">'RAW DATA Q2 - 1'!FM10</f>
        <v>3</v>
      </c>
    </row>
    <row r="14" customFormat="false" ht="26.85" hidden="false" customHeight="false" outlineLevel="0" collapsed="false">
      <c r="A14" s="58" t="n">
        <v>8</v>
      </c>
      <c r="B14" s="58" t="s">
        <v>271</v>
      </c>
      <c r="C14" s="59" t="str">
        <f aca="false">'RAW DATA Q2 - 1'!FN$1</f>
        <v>How would you rate the supplier's PIC's availability to be contacted when needed?</v>
      </c>
      <c r="D14" s="60" t="n">
        <f aca="false">'RAW DATA Q2 - 1'!FN10</f>
        <v>3</v>
      </c>
    </row>
    <row r="15" customFormat="false" ht="39.55" hidden="false" customHeight="false" outlineLevel="0" collapsed="false">
      <c r="A15" s="58" t="n">
        <v>9</v>
      </c>
      <c r="B15" s="58" t="s">
        <v>271</v>
      </c>
      <c r="C15" s="59" t="str">
        <f aca="false">'RAW DATA Q2 - 1'!FO$1</f>
        <v>How would you rate the supplier's response speed to you when there are issues?
</v>
      </c>
      <c r="D15" s="60" t="n">
        <f aca="false">'RAW DATA Q2 - 1'!FO10</f>
        <v>3</v>
      </c>
    </row>
    <row r="17" customFormat="false" ht="15" hidden="false" customHeight="false" outlineLevel="0" collapsed="false">
      <c r="A17" s="50" t="s">
        <v>272</v>
      </c>
      <c r="B17" s="61" t="n">
        <f aca="false">AVERAGEIF(B7:B15,"Quality",D7:D15)</f>
        <v>3</v>
      </c>
    </row>
    <row r="18" customFormat="false" ht="15" hidden="false" customHeight="false" outlineLevel="0" collapsed="false">
      <c r="A18" s="50" t="s">
        <v>273</v>
      </c>
      <c r="B18" s="61" t="n">
        <f aca="false">AVERAGEIF(B7:B15,"Timeline",D7:D15)</f>
        <v>3</v>
      </c>
    </row>
    <row r="19" customFormat="false" ht="15" hidden="false" customHeight="false" outlineLevel="0" collapsed="false">
      <c r="A19" s="50" t="s">
        <v>274</v>
      </c>
      <c r="B19" s="61" t="n">
        <f aca="false">AVERAGEIF(B7:B15,"Relationship",D7:D15)</f>
        <v>3</v>
      </c>
    </row>
    <row r="20" customFormat="false" ht="15" hidden="false" customHeight="false" outlineLevel="0" collapsed="false">
      <c r="A20" s="50" t="s">
        <v>275</v>
      </c>
      <c r="B20" s="62" t="n">
        <f aca="false">B17*0.35+B18*0.35+B19*0.3</f>
        <v>3</v>
      </c>
    </row>
    <row r="21" customFormat="false" ht="15" hidden="false" customHeight="false" outlineLevel="0" collapsed="false">
      <c r="A21" s="50" t="s">
        <v>276</v>
      </c>
      <c r="B21" s="50" t="str">
        <f aca="false">IF(B20&gt;4.99,"Exceptional",IF(B20&gt;3.99,"Exceed Expectation",IF(B20&gt;=2.99,"Meet Expectation",IF(B20&gt;1.9,"Below Expectation","Unsatisfactory"))))</f>
        <v>Meet Expectation</v>
      </c>
    </row>
    <row r="23" customFormat="false" ht="15" hidden="false" customHeight="false" outlineLevel="0" collapsed="false">
      <c r="A23" s="63" t="s">
        <v>277</v>
      </c>
    </row>
    <row r="24" customFormat="false" ht="15" hidden="false" customHeight="false" outlineLevel="0" collapsed="false">
      <c r="A24" s="46" t="s">
        <v>278</v>
      </c>
      <c r="B24" s="64" t="str">
        <f aca="false">'RAW DATA Q2 - 1'!FP10</f>
        <v>Yes</v>
      </c>
    </row>
    <row r="25" customFormat="false" ht="15" hidden="false" customHeight="false" outlineLevel="0" collapsed="false">
      <c r="A25" s="46" t="s">
        <v>279</v>
      </c>
      <c r="B25" s="64" t="str">
        <f aca="false">'RAW DATA Q2 - 1'!FQ10</f>
        <v>Yes</v>
      </c>
    </row>
    <row r="26" customFormat="false" ht="41.75" hidden="false" customHeight="false" outlineLevel="0" collapsed="false">
      <c r="A26" s="46" t="s">
        <v>280</v>
      </c>
      <c r="B26" s="64" t="str">
        <f aca="false">'RAW DATA Q2 - 1'!FR10</f>
        <v>Yes, DPIA completed and there are actions to be done by Project Owner</v>
      </c>
    </row>
    <row r="27" customFormat="false" ht="15" hidden="false" customHeight="false" outlineLevel="0" collapsed="false">
      <c r="A27" s="46" t="s">
        <v>281</v>
      </c>
      <c r="B27" s="64" t="str">
        <f aca="false">'RAW DATA Q2 - 1'!FS10</f>
        <v>No Implementation</v>
      </c>
    </row>
    <row r="28" customFormat="false" ht="41.75" hidden="false" customHeight="false" outlineLevel="0" collapsed="false">
      <c r="A28" s="46" t="s">
        <v>282</v>
      </c>
      <c r="B28" s="64" t="str">
        <f aca="false">'RAW DATA Q2 - 1'!FT10</f>
        <v>Yes, VSDDT completed and there are actions to be done by supplier</v>
      </c>
    </row>
    <row r="29" customFormat="false" ht="15" hidden="false" customHeight="false" outlineLevel="0" collapsed="false">
      <c r="A29" s="46" t="s">
        <v>283</v>
      </c>
    </row>
    <row r="31" customFormat="false" ht="15" hidden="false" customHeight="false" outlineLevel="0" collapsed="false">
      <c r="A31" s="63" t="s">
        <v>284</v>
      </c>
    </row>
    <row r="32" customFormat="false" ht="15" hidden="false" customHeight="false" outlineLevel="0" collapsed="false">
      <c r="B32" s="65" t="str">
        <f aca="false">'RAW DATA Q2 - 1'!FU10</f>
        <v>-</v>
      </c>
      <c r="C32" s="65"/>
      <c r="D32" s="65"/>
    </row>
  </sheetData>
  <mergeCells count="2">
    <mergeCell ref="A1:D1"/>
    <mergeCell ref="B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213</v>
      </c>
    </row>
    <row r="3" customFormat="false" ht="15" hidden="false" customHeight="false" outlineLevel="0" collapsed="false">
      <c r="A3" s="50" t="s">
        <v>29</v>
      </c>
      <c r="B3" s="46" t="s">
        <v>211</v>
      </c>
    </row>
    <row r="4" customFormat="false" ht="15" hidden="false" customHeight="false" outlineLevel="0" collapsed="false">
      <c r="A4" s="50" t="s">
        <v>266</v>
      </c>
      <c r="B4" s="46" t="s">
        <v>212</v>
      </c>
    </row>
    <row r="6" customFormat="false" ht="15" hidden="false" customHeight="false" outlineLevel="0" collapsed="false">
      <c r="A6" s="51" t="s">
        <v>52</v>
      </c>
      <c r="B6" s="51" t="s">
        <v>267</v>
      </c>
      <c r="C6" s="51" t="s">
        <v>268</v>
      </c>
      <c r="D6" s="51" t="s">
        <v>37</v>
      </c>
    </row>
    <row r="7" customFormat="false" ht="64.9" hidden="false" customHeight="false" outlineLevel="0" collapsed="false">
      <c r="A7" s="52" t="n">
        <v>1</v>
      </c>
      <c r="B7" s="52" t="s">
        <v>269</v>
      </c>
      <c r="C7" s="53" t="str">
        <f aca="false">'RAW DATA Q2 - 1'!EO$1</f>
        <v>How would you rate the Technical services that is used to penetrate the application which includes:
1. Technical Specification Design.
2. Hardware and capacity sizing for concurrent requests
3. Functi1</v>
      </c>
      <c r="D7" s="54" t="n">
        <f aca="false">'RAW DATA Q2 - 1'!EO9</f>
        <v>4</v>
      </c>
    </row>
    <row r="8" customFormat="false" ht="26.85" hidden="false" customHeight="false" outlineLevel="0" collapsed="false">
      <c r="A8" s="52" t="n">
        <v>2</v>
      </c>
      <c r="B8" s="52" t="s">
        <v>269</v>
      </c>
      <c r="C8" s="53" t="str">
        <f aca="false">'RAW DATA Q2 - 1'!EP$1</f>
        <v>How would you rate the after sales support capability and methodology?1</v>
      </c>
      <c r="D8" s="54" t="n">
        <f aca="false">'RAW DATA Q2 - 1'!EP9</f>
        <v>4</v>
      </c>
    </row>
    <row r="9" customFormat="false" ht="26.85" hidden="false" customHeight="false" outlineLevel="0" collapsed="false">
      <c r="A9" s="52" t="n">
        <v>3</v>
      </c>
      <c r="B9" s="52" t="s">
        <v>269</v>
      </c>
      <c r="C9" s="53" t="str">
        <f aca="false">'RAW DATA Q2 - 1'!EQ$1</f>
        <v>How would you rate the availability of documentation for product (user manual, troubleshoot document, setup document, etc)?</v>
      </c>
      <c r="D9" s="54" t="n">
        <f aca="false">'RAW DATA Q2 - 1'!EQ9</f>
        <v>4</v>
      </c>
    </row>
    <row r="10" customFormat="false" ht="26.85" hidden="false" customHeight="false" outlineLevel="0" collapsed="false">
      <c r="A10" s="55" t="n">
        <v>4</v>
      </c>
      <c r="B10" s="55" t="s">
        <v>270</v>
      </c>
      <c r="C10" s="56" t="str">
        <f aca="false">'RAW DATA Q2 - 1'!EU$1</f>
        <v>How would you rate the supplier's timeliness in delivering goods/services compared to the agreed-upon timeline?</v>
      </c>
      <c r="D10" s="57" t="n">
        <f aca="false">'RAW DATA Q2 - 1'!EU9</f>
        <v>4</v>
      </c>
    </row>
    <row r="11" customFormat="false" ht="15" hidden="false" customHeight="false" outlineLevel="0" collapsed="false">
      <c r="A11" s="55" t="n">
        <v>5</v>
      </c>
      <c r="B11" s="55" t="s">
        <v>270</v>
      </c>
      <c r="C11" s="56" t="str">
        <f aca="false">'RAW DATA Q2 - 1'!EV$1</f>
        <v>How would you rate the supplier's timeliness in sending reports to you?</v>
      </c>
      <c r="D11" s="57" t="n">
        <f aca="false">'RAW DATA Q2 - 1'!EV9</f>
        <v>4</v>
      </c>
    </row>
    <row r="12" customFormat="false" ht="26.85" hidden="false" customHeight="false" outlineLevel="0" collapsed="false">
      <c r="A12" s="55" t="n">
        <v>6</v>
      </c>
      <c r="B12" s="55" t="s">
        <v>270</v>
      </c>
      <c r="C12" s="56" t="str">
        <f aca="false">'RAW DATA Q2 - 1'!EW$1</f>
        <v>How would you rate the supplier's speed ​​of administrative completion, including completion of contracts draft?</v>
      </c>
      <c r="D12" s="57" t="n">
        <f aca="false">'RAW DATA Q2 - 1'!EW9</f>
        <v>4</v>
      </c>
    </row>
    <row r="13" customFormat="false" ht="15" hidden="false" customHeight="false" outlineLevel="0" collapsed="false">
      <c r="A13" s="58" t="n">
        <v>7</v>
      </c>
      <c r="B13" s="58" t="s">
        <v>271</v>
      </c>
      <c r="C13" s="59" t="str">
        <f aca="false">'RAW DATA Q2 - 1'!FM$1</f>
        <v>How would you rate the supplier's communication with you?</v>
      </c>
      <c r="D13" s="60" t="n">
        <f aca="false">'RAW DATA Q2 - 1'!FM9</f>
        <v>4</v>
      </c>
    </row>
    <row r="14" customFormat="false" ht="26.85" hidden="false" customHeight="false" outlineLevel="0" collapsed="false">
      <c r="A14" s="58" t="n">
        <v>8</v>
      </c>
      <c r="B14" s="58" t="s">
        <v>271</v>
      </c>
      <c r="C14" s="59" t="str">
        <f aca="false">'RAW DATA Q2 - 1'!FN$1</f>
        <v>How would you rate the supplier's PIC's availability to be contacted when needed?</v>
      </c>
      <c r="D14" s="60" t="n">
        <f aca="false">'RAW DATA Q2 - 1'!FN9</f>
        <v>4</v>
      </c>
    </row>
    <row r="15" customFormat="false" ht="39.55" hidden="false" customHeight="false" outlineLevel="0" collapsed="false">
      <c r="A15" s="58" t="n">
        <v>9</v>
      </c>
      <c r="B15" s="58" t="s">
        <v>271</v>
      </c>
      <c r="C15" s="59" t="str">
        <f aca="false">'RAW DATA Q2 - 1'!FO$1</f>
        <v>How would you rate the supplier's response speed to you when there are issues?
</v>
      </c>
      <c r="D15" s="60" t="n">
        <f aca="false">'RAW DATA Q2 - 1'!FO9</f>
        <v>4</v>
      </c>
    </row>
    <row r="17" customFormat="false" ht="15" hidden="false" customHeight="false" outlineLevel="0" collapsed="false">
      <c r="A17" s="50" t="s">
        <v>272</v>
      </c>
      <c r="B17" s="61" t="n">
        <f aca="false">AVERAGEIF(B7:B15,"Quality",D7:D15)</f>
        <v>4</v>
      </c>
    </row>
    <row r="18" customFormat="false" ht="15" hidden="false" customHeight="false" outlineLevel="0" collapsed="false">
      <c r="A18" s="50" t="s">
        <v>273</v>
      </c>
      <c r="B18" s="61" t="n">
        <f aca="false">AVERAGEIF(B7:B15,"Timeline",D7:D15)</f>
        <v>4</v>
      </c>
    </row>
    <row r="19" customFormat="false" ht="15" hidden="false" customHeight="false" outlineLevel="0" collapsed="false">
      <c r="A19" s="50" t="s">
        <v>274</v>
      </c>
      <c r="B19" s="61" t="n">
        <f aca="false">AVERAGEIF(B7:B15,"Relationship",D7:D15)</f>
        <v>4</v>
      </c>
    </row>
    <row r="20" customFormat="false" ht="15" hidden="false" customHeight="false" outlineLevel="0" collapsed="false">
      <c r="A20" s="50" t="s">
        <v>275</v>
      </c>
      <c r="B20" s="62" t="n">
        <f aca="false">B17*0.35+B18*0.35+B19*0.3</f>
        <v>4</v>
      </c>
    </row>
    <row r="21" customFormat="false" ht="15" hidden="false" customHeight="false" outlineLevel="0" collapsed="false">
      <c r="A21" s="50" t="s">
        <v>276</v>
      </c>
      <c r="B21" s="50" t="str">
        <f aca="false">IF(B20&gt;4.99,"Exceptional",IF(B20&gt;3.99,"Exceed Expectation",IF(B20&gt;=2.99,"Meet Expectation",IF(B20&gt;1.9,"Below Expectation","Unsatisfactory"))))</f>
        <v>Exceed Expectation</v>
      </c>
    </row>
    <row r="23" customFormat="false" ht="15" hidden="false" customHeight="false" outlineLevel="0" collapsed="false">
      <c r="A23" s="63" t="s">
        <v>277</v>
      </c>
    </row>
    <row r="24" customFormat="false" ht="15" hidden="false" customHeight="false" outlineLevel="0" collapsed="false">
      <c r="A24" s="46" t="s">
        <v>278</v>
      </c>
      <c r="B24" s="64" t="str">
        <f aca="false">'RAW DATA Q2 - 1'!FP9</f>
        <v>Yes</v>
      </c>
    </row>
    <row r="25" customFormat="false" ht="15" hidden="false" customHeight="false" outlineLevel="0" collapsed="false">
      <c r="A25" s="46" t="s">
        <v>279</v>
      </c>
      <c r="B25" s="64" t="str">
        <f aca="false">'RAW DATA Q2 - 1'!FQ9</f>
        <v>Yes</v>
      </c>
    </row>
    <row r="26" customFormat="false" ht="41.75" hidden="false" customHeight="false" outlineLevel="0" collapsed="false">
      <c r="A26" s="46" t="s">
        <v>280</v>
      </c>
      <c r="B26" s="64" t="str">
        <f aca="false">'RAW DATA Q2 - 1'!FR9</f>
        <v>Yes, DPIA completed and there are actions to be done by Project Owner</v>
      </c>
    </row>
    <row r="27" customFormat="false" ht="15" hidden="false" customHeight="false" outlineLevel="0" collapsed="false">
      <c r="A27" s="46" t="s">
        <v>281</v>
      </c>
      <c r="B27" s="64" t="str">
        <f aca="false">'RAW DATA Q2 - 1'!FS9</f>
        <v>No Implementation</v>
      </c>
    </row>
    <row r="28" customFormat="false" ht="41.75" hidden="false" customHeight="false" outlineLevel="0" collapsed="false">
      <c r="A28" s="46" t="s">
        <v>282</v>
      </c>
      <c r="B28" s="64" t="str">
        <f aca="false">'RAW DATA Q2 - 1'!FT9</f>
        <v>Yes, VSDDT completed and there are actions to be done by supplier</v>
      </c>
    </row>
    <row r="29" customFormat="false" ht="15" hidden="false" customHeight="false" outlineLevel="0" collapsed="false">
      <c r="A29" s="46" t="s">
        <v>283</v>
      </c>
    </row>
    <row r="31" customFormat="false" ht="15" hidden="false" customHeight="false" outlineLevel="0" collapsed="false">
      <c r="A31" s="63" t="s">
        <v>284</v>
      </c>
    </row>
    <row r="32" customFormat="false" ht="15" hidden="false" customHeight="false" outlineLevel="0" collapsed="false">
      <c r="B32" s="65" t="str">
        <f aca="false">'RAW DATA Q2 - 1'!FU9</f>
        <v>-</v>
      </c>
      <c r="C32" s="65"/>
      <c r="D32" s="65"/>
    </row>
  </sheetData>
  <mergeCells count="2">
    <mergeCell ref="A1:D1"/>
    <mergeCell ref="B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214</v>
      </c>
    </row>
    <row r="3" customFormat="false" ht="15" hidden="false" customHeight="false" outlineLevel="0" collapsed="false">
      <c r="A3" s="50" t="s">
        <v>29</v>
      </c>
      <c r="B3" s="46" t="s">
        <v>211</v>
      </c>
    </row>
    <row r="4" customFormat="false" ht="15" hidden="false" customHeight="false" outlineLevel="0" collapsed="false">
      <c r="A4" s="50" t="s">
        <v>266</v>
      </c>
      <c r="B4" s="46" t="s">
        <v>212</v>
      </c>
    </row>
    <row r="6" customFormat="false" ht="15" hidden="false" customHeight="false" outlineLevel="0" collapsed="false">
      <c r="A6" s="51" t="s">
        <v>52</v>
      </c>
      <c r="B6" s="51" t="s">
        <v>267</v>
      </c>
      <c r="C6" s="51" t="s">
        <v>268</v>
      </c>
      <c r="D6" s="51" t="s">
        <v>37</v>
      </c>
    </row>
    <row r="7" customFormat="false" ht="64.9" hidden="false" customHeight="false" outlineLevel="0" collapsed="false">
      <c r="A7" s="52" t="n">
        <v>1</v>
      </c>
      <c r="B7" s="52" t="s">
        <v>269</v>
      </c>
      <c r="C7" s="53" t="str">
        <f aca="false">'RAW DATA Q2 - 1'!EL$1</f>
        <v>How would you rate the Technical services that is used to penetrate the application which includes:
1. Technical Specification Design.
2. Hardware and capacity sizing for concurrent requests
3. Functi</v>
      </c>
      <c r="D7" s="54" t="n">
        <f aca="false">'RAW DATA Q2 - 1'!EL8</f>
        <v>4</v>
      </c>
    </row>
    <row r="8" customFormat="false" ht="15" hidden="false" customHeight="false" outlineLevel="0" collapsed="false">
      <c r="A8" s="52" t="n">
        <v>2</v>
      </c>
      <c r="B8" s="52" t="s">
        <v>269</v>
      </c>
      <c r="C8" s="53" t="str">
        <f aca="false">'RAW DATA Q2 - 1'!EM$1</f>
        <v>How would you rate the after sales support capability and methodology?</v>
      </c>
      <c r="D8" s="54" t="n">
        <f aca="false">'RAW DATA Q2 - 1'!EM8</f>
        <v>4</v>
      </c>
    </row>
    <row r="9" customFormat="false" ht="26.85" hidden="false" customHeight="false" outlineLevel="0" collapsed="false">
      <c r="A9" s="52" t="n">
        <v>3</v>
      </c>
      <c r="B9" s="52" t="s">
        <v>269</v>
      </c>
      <c r="C9" s="53" t="str">
        <f aca="false">'RAW DATA Q2 - 1'!EN$1</f>
        <v>How would you rate the availability of documentation for service (user manual, troubleshoot document, setup document, etc)?</v>
      </c>
      <c r="D9" s="54" t="n">
        <f aca="false">'RAW DATA Q2 - 1'!EN8</f>
        <v>4</v>
      </c>
    </row>
    <row r="10" customFormat="false" ht="26.85" hidden="false" customHeight="false" outlineLevel="0" collapsed="false">
      <c r="A10" s="55" t="n">
        <v>4</v>
      </c>
      <c r="B10" s="55" t="s">
        <v>270</v>
      </c>
      <c r="C10" s="56" t="str">
        <f aca="false">'RAW DATA Q2 - 1'!EU$1</f>
        <v>How would you rate the supplier's timeliness in delivering goods/services compared to the agreed-upon timeline?</v>
      </c>
      <c r="D10" s="57" t="n">
        <f aca="false">'RAW DATA Q2 - 1'!EU8</f>
        <v>4</v>
      </c>
    </row>
    <row r="11" customFormat="false" ht="15" hidden="false" customHeight="false" outlineLevel="0" collapsed="false">
      <c r="A11" s="55" t="n">
        <v>5</v>
      </c>
      <c r="B11" s="55" t="s">
        <v>270</v>
      </c>
      <c r="C11" s="56" t="str">
        <f aca="false">'RAW DATA Q2 - 1'!EV$1</f>
        <v>How would you rate the supplier's timeliness in sending reports to you?</v>
      </c>
      <c r="D11" s="57" t="n">
        <f aca="false">'RAW DATA Q2 - 1'!EV8</f>
        <v>4</v>
      </c>
    </row>
    <row r="12" customFormat="false" ht="26.85" hidden="false" customHeight="false" outlineLevel="0" collapsed="false">
      <c r="A12" s="55" t="n">
        <v>6</v>
      </c>
      <c r="B12" s="55" t="s">
        <v>270</v>
      </c>
      <c r="C12" s="56" t="str">
        <f aca="false">'RAW DATA Q2 - 1'!EW$1</f>
        <v>How would you rate the supplier's speed ​​of administrative completion, including completion of contracts draft?</v>
      </c>
      <c r="D12" s="57" t="n">
        <f aca="false">'RAW DATA Q2 - 1'!EW8</f>
        <v>4</v>
      </c>
    </row>
    <row r="13" customFormat="false" ht="15" hidden="false" customHeight="false" outlineLevel="0" collapsed="false">
      <c r="A13" s="58" t="n">
        <v>7</v>
      </c>
      <c r="B13" s="58" t="s">
        <v>271</v>
      </c>
      <c r="C13" s="59" t="str">
        <f aca="false">'RAW DATA Q2 - 1'!FM$1</f>
        <v>How would you rate the supplier's communication with you?</v>
      </c>
      <c r="D13" s="60" t="n">
        <f aca="false">'RAW DATA Q2 - 1'!FM8</f>
        <v>4</v>
      </c>
    </row>
    <row r="14" customFormat="false" ht="26.85" hidden="false" customHeight="false" outlineLevel="0" collapsed="false">
      <c r="A14" s="58" t="n">
        <v>8</v>
      </c>
      <c r="B14" s="58" t="s">
        <v>271</v>
      </c>
      <c r="C14" s="59" t="str">
        <f aca="false">'RAW DATA Q2 - 1'!FN$1</f>
        <v>How would you rate the supplier's PIC's availability to be contacted when needed?</v>
      </c>
      <c r="D14" s="60" t="n">
        <f aca="false">'RAW DATA Q2 - 1'!FN8</f>
        <v>4</v>
      </c>
    </row>
    <row r="15" customFormat="false" ht="39.55" hidden="false" customHeight="false" outlineLevel="0" collapsed="false">
      <c r="A15" s="58" t="n">
        <v>9</v>
      </c>
      <c r="B15" s="58" t="s">
        <v>271</v>
      </c>
      <c r="C15" s="59" t="str">
        <f aca="false">'RAW DATA Q2 - 1'!FO$1</f>
        <v>How would you rate the supplier's response speed to you when there are issues?
</v>
      </c>
      <c r="D15" s="60" t="n">
        <f aca="false">'RAW DATA Q2 - 1'!FO8</f>
        <v>4</v>
      </c>
    </row>
    <row r="17" customFormat="false" ht="15" hidden="false" customHeight="false" outlineLevel="0" collapsed="false">
      <c r="A17" s="50" t="s">
        <v>272</v>
      </c>
      <c r="B17" s="61" t="n">
        <f aca="false">AVERAGEIF(B7:B15,"Quality",D7:D15)</f>
        <v>4</v>
      </c>
    </row>
    <row r="18" customFormat="false" ht="15" hidden="false" customHeight="false" outlineLevel="0" collapsed="false">
      <c r="A18" s="50" t="s">
        <v>273</v>
      </c>
      <c r="B18" s="61" t="n">
        <f aca="false">AVERAGEIF(B7:B15,"Timeline",D7:D15)</f>
        <v>4</v>
      </c>
    </row>
    <row r="19" customFormat="false" ht="15" hidden="false" customHeight="false" outlineLevel="0" collapsed="false">
      <c r="A19" s="50" t="s">
        <v>274</v>
      </c>
      <c r="B19" s="61" t="n">
        <f aca="false">AVERAGEIF(B7:B15,"Relationship",D7:D15)</f>
        <v>4</v>
      </c>
    </row>
    <row r="20" customFormat="false" ht="15" hidden="false" customHeight="false" outlineLevel="0" collapsed="false">
      <c r="A20" s="50" t="s">
        <v>275</v>
      </c>
      <c r="B20" s="62" t="n">
        <f aca="false">B17*0.35+B18*0.35+B19*0.3</f>
        <v>4</v>
      </c>
    </row>
    <row r="21" customFormat="false" ht="15" hidden="false" customHeight="false" outlineLevel="0" collapsed="false">
      <c r="A21" s="50" t="s">
        <v>276</v>
      </c>
      <c r="B21" s="50" t="str">
        <f aca="false">IF(B20&gt;4.99,"Exceptional",IF(B20&gt;3.99,"Exceed Expectation",IF(B20&gt;=2.99,"Meet Expectation",IF(B20&gt;1.9,"Below Expectation","Unsatisfactory"))))</f>
        <v>Exceed Expectation</v>
      </c>
    </row>
    <row r="23" customFormat="false" ht="15" hidden="false" customHeight="false" outlineLevel="0" collapsed="false">
      <c r="A23" s="63" t="s">
        <v>277</v>
      </c>
    </row>
    <row r="24" customFormat="false" ht="15" hidden="false" customHeight="false" outlineLevel="0" collapsed="false">
      <c r="A24" s="46" t="s">
        <v>278</v>
      </c>
      <c r="B24" s="64" t="str">
        <f aca="false">'RAW DATA Q2 - 1'!FP8</f>
        <v>Yes</v>
      </c>
    </row>
    <row r="25" customFormat="false" ht="15" hidden="false" customHeight="false" outlineLevel="0" collapsed="false">
      <c r="A25" s="46" t="s">
        <v>279</v>
      </c>
      <c r="B25" s="64" t="str">
        <f aca="false">'RAW DATA Q2 - 1'!FQ8</f>
        <v>Yes</v>
      </c>
    </row>
    <row r="26" customFormat="false" ht="41.75" hidden="false" customHeight="false" outlineLevel="0" collapsed="false">
      <c r="A26" s="46" t="s">
        <v>280</v>
      </c>
      <c r="B26" s="64" t="str">
        <f aca="false">'RAW DATA Q2 - 1'!FR8</f>
        <v>Yes, DPIA completed and there are actions to be done by Project Owner</v>
      </c>
    </row>
    <row r="27" customFormat="false" ht="15" hidden="false" customHeight="false" outlineLevel="0" collapsed="false">
      <c r="A27" s="46" t="s">
        <v>281</v>
      </c>
      <c r="B27" s="64" t="str">
        <f aca="false">'RAW DATA Q2 - 1'!FS8</f>
        <v>No Implementation</v>
      </c>
    </row>
    <row r="28" customFormat="false" ht="41.75" hidden="false" customHeight="false" outlineLevel="0" collapsed="false">
      <c r="A28" s="46" t="s">
        <v>282</v>
      </c>
      <c r="B28" s="64" t="str">
        <f aca="false">'RAW DATA Q2 - 1'!FT8</f>
        <v>Yes, VSDDT completed and there are actions to be done by supplier</v>
      </c>
    </row>
    <row r="29" customFormat="false" ht="15" hidden="false" customHeight="false" outlineLevel="0" collapsed="false">
      <c r="A29" s="46" t="s">
        <v>283</v>
      </c>
    </row>
    <row r="31" customFormat="false" ht="15" hidden="false" customHeight="false" outlineLevel="0" collapsed="false">
      <c r="A31" s="63" t="s">
        <v>284</v>
      </c>
    </row>
    <row r="32" customFormat="false" ht="15" hidden="false" customHeight="false" outlineLevel="0" collapsed="false">
      <c r="B32" s="65" t="str">
        <f aca="false">'RAW DATA Q2 - 1'!FU8</f>
        <v>-</v>
      </c>
      <c r="C32" s="65"/>
      <c r="D32" s="65"/>
    </row>
  </sheetData>
  <mergeCells count="2">
    <mergeCell ref="A1:D1"/>
    <mergeCell ref="B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215</v>
      </c>
    </row>
    <row r="3" customFormat="false" ht="15" hidden="false" customHeight="false" outlineLevel="0" collapsed="false">
      <c r="A3" s="50" t="s">
        <v>29</v>
      </c>
      <c r="B3" s="46" t="s">
        <v>216</v>
      </c>
    </row>
    <row r="4" customFormat="false" ht="15" hidden="false" customHeight="false" outlineLevel="0" collapsed="false">
      <c r="A4" s="50" t="s">
        <v>266</v>
      </c>
      <c r="B4" s="46" t="s">
        <v>217</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Q2 - 1'!DX$1</f>
        <v>How would you rate the goods/services provided by the Supplier against the agreed standards?1</v>
      </c>
      <c r="D7" s="54" t="n">
        <f aca="false">'RAW DATA Q2 - 1'!DX11</f>
        <v>3</v>
      </c>
    </row>
    <row r="8" customFormat="false" ht="15" hidden="false" customHeight="false" outlineLevel="0" collapsed="false">
      <c r="A8" s="52" t="n">
        <v>2</v>
      </c>
      <c r="B8" s="52" t="s">
        <v>269</v>
      </c>
      <c r="C8" s="53" t="str">
        <f aca="false">'RAW DATA Q2 - 1'!DY$1</f>
        <v>How would you rate the accuracy of the data in the Supplier's reports?6</v>
      </c>
      <c r="D8" s="54" t="n">
        <f aca="false">'RAW DATA Q2 - 1'!DY11</f>
        <v>4</v>
      </c>
    </row>
    <row r="9" customFormat="false" ht="26.85" hidden="false" customHeight="false" outlineLevel="0" collapsed="false">
      <c r="A9" s="52" t="n">
        <v>3</v>
      </c>
      <c r="B9" s="52" t="s">
        <v>269</v>
      </c>
      <c r="C9" s="53" t="str">
        <f aca="false">'RAW DATA Q2 - 1'!DZ$1</f>
        <v>How would you rate overall quality of the work reports provided by the Supplier?6</v>
      </c>
      <c r="D9" s="54" t="n">
        <f aca="false">'RAW DATA Q2 - 1'!DZ11</f>
        <v>3</v>
      </c>
    </row>
    <row r="10" customFormat="false" ht="15" hidden="false" customHeight="false" outlineLevel="0" collapsed="false">
      <c r="A10" s="52" t="n">
        <v>4</v>
      </c>
      <c r="B10" s="52" t="s">
        <v>269</v>
      </c>
      <c r="C10" s="53" t="str">
        <f aca="false">'RAW DATA Q2 - 1'!EA$1</f>
        <v>How would you rate the solutions provided when there is trouble?6</v>
      </c>
      <c r="D10" s="54" t="n">
        <f aca="false">'RAW DATA Q2 - 1'!EA11</f>
        <v>3</v>
      </c>
    </row>
    <row r="11" customFormat="false" ht="15" hidden="false" customHeight="false" outlineLevel="0" collapsed="false">
      <c r="A11" s="52" t="n">
        <v>5</v>
      </c>
      <c r="B11" s="52" t="s">
        <v>269</v>
      </c>
      <c r="C11" s="53" t="str">
        <f aca="false">'RAW DATA Q2 - 1'!EB$1</f>
        <v>How would you rate the resolution to the problem that occurred?6</v>
      </c>
      <c r="D11" s="54" t="n">
        <f aca="false">'RAW DATA Q2 - 1'!EB11</f>
        <v>3</v>
      </c>
    </row>
    <row r="12" customFormat="false" ht="26.85" hidden="false" customHeight="false" outlineLevel="0" collapsed="false">
      <c r="A12" s="52" t="n">
        <v>6</v>
      </c>
      <c r="B12" s="52" t="s">
        <v>269</v>
      </c>
      <c r="C12" s="53" t="str">
        <f aca="false">'RAW DATA Q2 - 1'!EC$1</f>
        <v>How would you rate the supplier initiative to take mitigation/preventive action to prevent the problem from recurring?7</v>
      </c>
      <c r="D12" s="54" t="n">
        <f aca="false">'RAW DATA Q2 - 1'!EC11</f>
        <v>3</v>
      </c>
    </row>
    <row r="13" customFormat="false" ht="15" hidden="false" customHeight="false" outlineLevel="0" collapsed="false">
      <c r="A13" s="52" t="n">
        <v>7</v>
      </c>
      <c r="B13" s="52" t="s">
        <v>269</v>
      </c>
      <c r="C13" s="53" t="str">
        <f aca="false">'RAW DATA Q2 - 1'!ED$1</f>
        <v>How would you rate the service provided?</v>
      </c>
      <c r="D13" s="54" t="n">
        <f aca="false">'RAW DATA Q2 - 1'!ED11</f>
        <v>3</v>
      </c>
    </row>
    <row r="14" customFormat="false" ht="15" hidden="false" customHeight="false" outlineLevel="0" collapsed="false">
      <c r="A14" s="52" t="n">
        <v>8</v>
      </c>
      <c r="B14" s="52" t="s">
        <v>269</v>
      </c>
      <c r="C14" s="53" t="str">
        <f aca="false">'RAW DATA Q2 - 1'!EE$1</f>
        <v>How would you rate the Complaint Handling?</v>
      </c>
      <c r="D14" s="54" t="n">
        <f aca="false">'RAW DATA Q2 - 1'!EE11</f>
        <v>3</v>
      </c>
    </row>
    <row r="15" customFormat="false" ht="26.85" hidden="false" customHeight="false" outlineLevel="0" collapsed="false">
      <c r="A15" s="55" t="n">
        <v>9</v>
      </c>
      <c r="B15" s="55" t="s">
        <v>270</v>
      </c>
      <c r="C15" s="56" t="str">
        <f aca="false">'RAW DATA Q2 - 1'!EU$1</f>
        <v>How would you rate the supplier's timeliness in delivering goods/services compared to the agreed-upon timeline?</v>
      </c>
      <c r="D15" s="57" t="n">
        <f aca="false">'RAW DATA Q2 - 1'!EU11</f>
        <v>3</v>
      </c>
    </row>
    <row r="16" customFormat="false" ht="15" hidden="false" customHeight="false" outlineLevel="0" collapsed="false">
      <c r="A16" s="55" t="n">
        <v>10</v>
      </c>
      <c r="B16" s="55" t="s">
        <v>270</v>
      </c>
      <c r="C16" s="56" t="str">
        <f aca="false">'RAW DATA Q2 - 1'!EV$1</f>
        <v>How would you rate the supplier's timeliness in sending reports to you?</v>
      </c>
      <c r="D16" s="57" t="n">
        <f aca="false">'RAW DATA Q2 - 1'!EV11</f>
        <v>3</v>
      </c>
    </row>
    <row r="17" customFormat="false" ht="26.85" hidden="false" customHeight="false" outlineLevel="0" collapsed="false">
      <c r="A17" s="55" t="n">
        <v>11</v>
      </c>
      <c r="B17" s="55" t="s">
        <v>270</v>
      </c>
      <c r="C17" s="56" t="str">
        <f aca="false">'RAW DATA Q2 - 1'!EW$1</f>
        <v>How would you rate the supplier's speed ​​of administrative completion, including completion of contracts draft?</v>
      </c>
      <c r="D17" s="57" t="n">
        <f aca="false">'RAW DATA Q2 - 1'!EW11</f>
        <v>3</v>
      </c>
    </row>
    <row r="18" customFormat="false" ht="15" hidden="false" customHeight="false" outlineLevel="0" collapsed="false">
      <c r="A18" s="58" t="n">
        <v>12</v>
      </c>
      <c r="B18" s="58" t="s">
        <v>271</v>
      </c>
      <c r="C18" s="59" t="str">
        <f aca="false">'RAW DATA Q2 - 1'!FM$1</f>
        <v>How would you rate the supplier's communication with you?</v>
      </c>
      <c r="D18" s="60" t="n">
        <f aca="false">'RAW DATA Q2 - 1'!FM11</f>
        <v>3</v>
      </c>
    </row>
    <row r="19" customFormat="false" ht="26.85" hidden="false" customHeight="false" outlineLevel="0" collapsed="false">
      <c r="A19" s="58" t="n">
        <v>13</v>
      </c>
      <c r="B19" s="58" t="s">
        <v>271</v>
      </c>
      <c r="C19" s="59" t="str">
        <f aca="false">'RAW DATA Q2 - 1'!FN$1</f>
        <v>How would you rate the supplier's PIC's availability to be contacted when needed?</v>
      </c>
      <c r="D19" s="60" t="n">
        <f aca="false">'RAW DATA Q2 - 1'!FN11</f>
        <v>3</v>
      </c>
    </row>
    <row r="20" customFormat="false" ht="39.55" hidden="false" customHeight="false" outlineLevel="0" collapsed="false">
      <c r="A20" s="58" t="n">
        <v>14</v>
      </c>
      <c r="B20" s="58" t="s">
        <v>271</v>
      </c>
      <c r="C20" s="59" t="str">
        <f aca="false">'RAW DATA Q2 - 1'!FO$1</f>
        <v>How would you rate the supplier's response speed to you when there are issues?
</v>
      </c>
      <c r="D20" s="60" t="n">
        <f aca="false">'RAW DATA Q2 - 1'!FO11</f>
        <v>3</v>
      </c>
    </row>
    <row r="22" customFormat="false" ht="15" hidden="false" customHeight="false" outlineLevel="0" collapsed="false">
      <c r="A22" s="50" t="s">
        <v>272</v>
      </c>
      <c r="B22" s="61" t="n">
        <f aca="false">AVERAGEIF(B7:B20,"Quality",D7:D20)</f>
        <v>3.125</v>
      </c>
    </row>
    <row r="23" customFormat="false" ht="15" hidden="false" customHeight="false" outlineLevel="0" collapsed="false">
      <c r="A23" s="50" t="s">
        <v>273</v>
      </c>
      <c r="B23" s="61" t="n">
        <f aca="false">AVERAGEIF(B7:B20,"Timeline",D7:D20)</f>
        <v>3</v>
      </c>
    </row>
    <row r="24" customFormat="false" ht="15" hidden="false" customHeight="false" outlineLevel="0" collapsed="false">
      <c r="A24" s="50" t="s">
        <v>274</v>
      </c>
      <c r="B24" s="61" t="n">
        <f aca="false">AVERAGEIF(B7:B20,"Relationship",D7:D20)</f>
        <v>3</v>
      </c>
    </row>
    <row r="25" customFormat="false" ht="15" hidden="false" customHeight="false" outlineLevel="0" collapsed="false">
      <c r="A25" s="50" t="s">
        <v>275</v>
      </c>
      <c r="B25" s="62" t="n">
        <f aca="false">B22*0.35+B23*0.35+B24*0.3</f>
        <v>3.04375</v>
      </c>
    </row>
    <row r="26" customFormat="false" ht="15" hidden="false" customHeight="false" outlineLevel="0" collapsed="false">
      <c r="A26" s="50" t="s">
        <v>276</v>
      </c>
      <c r="B26" s="50" t="str">
        <f aca="false">IF(B25&gt;4.99,"Exceptional",IF(B25&gt;3.99,"Exceed Expectation",IF(B25&gt;=2.99,"Meet Expectation",IF(B25&gt;1.9,"Below Expectation","Unsatisfactory"))))</f>
        <v>Meet Expectation</v>
      </c>
    </row>
    <row r="28" customFormat="false" ht="15" hidden="false" customHeight="false" outlineLevel="0" collapsed="false">
      <c r="A28" s="63" t="s">
        <v>277</v>
      </c>
    </row>
    <row r="29" customFormat="false" ht="15" hidden="false" customHeight="false" outlineLevel="0" collapsed="false">
      <c r="A29" s="46" t="s">
        <v>278</v>
      </c>
      <c r="B29" s="64" t="str">
        <f aca="false">'RAW DATA Q2 - 1'!FP11</f>
        <v>Yes</v>
      </c>
    </row>
    <row r="30" customFormat="false" ht="15" hidden="false" customHeight="false" outlineLevel="0" collapsed="false">
      <c r="A30" s="46" t="s">
        <v>279</v>
      </c>
      <c r="B30" s="64" t="str">
        <f aca="false">'RAW DATA Q2 - 1'!FQ11</f>
        <v>Yes</v>
      </c>
    </row>
    <row r="31" customFormat="false" ht="41.75" hidden="false" customHeight="false" outlineLevel="0" collapsed="false">
      <c r="A31" s="46" t="s">
        <v>280</v>
      </c>
      <c r="B31" s="64" t="str">
        <f aca="false">'RAW DATA Q2 - 1'!FR11</f>
        <v>Yes, DPIA completed and there are actions to be done by Project Owner</v>
      </c>
    </row>
    <row r="32" customFormat="false" ht="15" hidden="false" customHeight="false" outlineLevel="0" collapsed="false">
      <c r="A32" s="46" t="s">
        <v>281</v>
      </c>
      <c r="B32" s="64" t="str">
        <f aca="false">'RAW DATA Q2 - 1'!FS11</f>
        <v>No Implementation</v>
      </c>
    </row>
    <row r="33" customFormat="false" ht="41.75" hidden="false" customHeight="false" outlineLevel="0" collapsed="false">
      <c r="A33" s="46" t="s">
        <v>282</v>
      </c>
      <c r="B33" s="64" t="str">
        <f aca="false">'RAW DATA Q2 - 1'!FT11</f>
        <v>Yes, VSDDT completed and there are actions to be done by supplier</v>
      </c>
    </row>
    <row r="34" customFormat="false" ht="15" hidden="false" customHeight="false" outlineLevel="0" collapsed="false">
      <c r="A34" s="46" t="s">
        <v>283</v>
      </c>
    </row>
    <row r="36" customFormat="false" ht="15" hidden="false" customHeight="false" outlineLevel="0" collapsed="false">
      <c r="A36" s="63" t="s">
        <v>284</v>
      </c>
    </row>
    <row r="37" customFormat="false" ht="15" hidden="false" customHeight="false" outlineLevel="0" collapsed="false">
      <c r="B37" s="65" t="str">
        <f aca="false">'RAW DATA Q2 - 1'!FU11</f>
        <v>improve inisiatsis</v>
      </c>
      <c r="C37" s="65"/>
      <c r="D37" s="65"/>
    </row>
  </sheetData>
  <mergeCells count="2">
    <mergeCell ref="A1:D1"/>
    <mergeCell ref="B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285</v>
      </c>
    </row>
    <row r="3" customFormat="false" ht="15" hidden="false" customHeight="false" outlineLevel="0" collapsed="false">
      <c r="A3" s="50" t="s">
        <v>29</v>
      </c>
      <c r="B3" s="46"/>
    </row>
    <row r="4" customFormat="false" ht="15" hidden="false" customHeight="false" outlineLevel="0" collapsed="false">
      <c r="A4" s="50" t="s">
        <v>266</v>
      </c>
      <c r="B4" s="46" t="s">
        <v>219</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Q2 - 1'!AA$1</f>
        <v>How would you rate Supplier's ability to understand and meet your needs?1</v>
      </c>
      <c r="D7" s="54" t="n">
        <f aca="false">'RAW DATA Q2 - 1'!AA5</f>
        <v>3</v>
      </c>
    </row>
    <row r="8" customFormat="false" ht="26.85" hidden="false" customHeight="false" outlineLevel="0" collapsed="false">
      <c r="A8" s="52" t="n">
        <v>2</v>
      </c>
      <c r="B8" s="52" t="s">
        <v>269</v>
      </c>
      <c r="C8" s="53" t="str">
        <f aca="false">'RAW DATA Q2 - 1'!AB$1</f>
        <v>How would you rate the goods/services provided by the Supplier against the agreed standards?</v>
      </c>
      <c r="D8" s="54" t="n">
        <f aca="false">'RAW DATA Q2 - 1'!AB5</f>
        <v>3</v>
      </c>
    </row>
    <row r="9" customFormat="false" ht="15" hidden="false" customHeight="false" outlineLevel="0" collapsed="false">
      <c r="A9" s="52" t="n">
        <v>3</v>
      </c>
      <c r="B9" s="52" t="s">
        <v>269</v>
      </c>
      <c r="C9" s="53" t="str">
        <f aca="false">'RAW DATA Q2 - 1'!AC$1</f>
        <v>How would you rate the accuracy of the data in the Supplier's reports?</v>
      </c>
      <c r="D9" s="54" t="n">
        <f aca="false">'RAW DATA Q2 - 1'!AC5</f>
        <v>3</v>
      </c>
    </row>
    <row r="10" customFormat="false" ht="26.85" hidden="false" customHeight="false" outlineLevel="0" collapsed="false">
      <c r="A10" s="52" t="n">
        <v>4</v>
      </c>
      <c r="B10" s="52" t="s">
        <v>269</v>
      </c>
      <c r="C10" s="53" t="str">
        <f aca="false">'RAW DATA Q2 - 1'!AD$1</f>
        <v>How would you rate overall quality of the work reports provided by the Supplier?</v>
      </c>
      <c r="D10" s="54" t="n">
        <f aca="false">'RAW DATA Q2 - 1'!AD5</f>
        <v>3</v>
      </c>
    </row>
    <row r="11" customFormat="false" ht="15" hidden="false" customHeight="false" outlineLevel="0" collapsed="false">
      <c r="A11" s="52" t="n">
        <v>5</v>
      </c>
      <c r="B11" s="52" t="s">
        <v>269</v>
      </c>
      <c r="C11" s="53" t="str">
        <f aca="false">'RAW DATA Q2 - 1'!AE$1</f>
        <v>How would you rate the solutions provided when there is trouble?</v>
      </c>
      <c r="D11" s="54" t="n">
        <f aca="false">'RAW DATA Q2 - 1'!AE5</f>
        <v>3</v>
      </c>
    </row>
    <row r="12" customFormat="false" ht="15" hidden="false" customHeight="false" outlineLevel="0" collapsed="false">
      <c r="A12" s="52" t="n">
        <v>6</v>
      </c>
      <c r="B12" s="52" t="s">
        <v>269</v>
      </c>
      <c r="C12" s="53" t="str">
        <f aca="false">'RAW DATA Q2 - 1'!AF$1</f>
        <v>How would you rate the resolution to the problem that occurred?</v>
      </c>
      <c r="D12" s="54" t="n">
        <f aca="false">'RAW DATA Q2 - 1'!AF5</f>
        <v>3</v>
      </c>
    </row>
    <row r="13" customFormat="false" ht="26.85" hidden="false" customHeight="false" outlineLevel="0" collapsed="false">
      <c r="A13" s="52" t="n">
        <v>7</v>
      </c>
      <c r="B13" s="52" t="s">
        <v>269</v>
      </c>
      <c r="C13" s="53" t="str">
        <f aca="false">'RAW DATA Q2 - 1'!AG$1</f>
        <v>How would you rate the speed of resolution given to problems that occur?</v>
      </c>
      <c r="D13" s="54" t="n">
        <f aca="false">'RAW DATA Q2 - 1'!AG5</f>
        <v>3</v>
      </c>
    </row>
    <row r="14" customFormat="false" ht="26.85" hidden="false" customHeight="false" outlineLevel="0" collapsed="false">
      <c r="A14" s="52" t="n">
        <v>8</v>
      </c>
      <c r="B14" s="52" t="s">
        <v>269</v>
      </c>
      <c r="C14" s="53" t="str">
        <f aca="false">'RAW DATA Q2 - 1'!AH$1</f>
        <v>How would you rate the supplier initiative to take mitigation/preventive action to prevent the problem from recurring?</v>
      </c>
      <c r="D14" s="54" t="n">
        <f aca="false">'RAW DATA Q2 - 1'!AH5</f>
        <v>3</v>
      </c>
    </row>
    <row r="15" customFormat="false" ht="26.85" hidden="false" customHeight="false" outlineLevel="0" collapsed="false">
      <c r="A15" s="52" t="n">
        <v>9</v>
      </c>
      <c r="B15" s="52" t="s">
        <v>269</v>
      </c>
      <c r="C15" s="53" t="str">
        <f aca="false">'RAW DATA Q2 - 1'!AI$1</f>
        <v>How would you rate supplier compliance with administrative processes, including completion of draft cooperation contract?1</v>
      </c>
      <c r="D15" s="54" t="n">
        <f aca="false">'RAW DATA Q2 - 1'!AI5</f>
        <v>3</v>
      </c>
    </row>
    <row r="16" customFormat="false" ht="15" hidden="false" customHeight="false" outlineLevel="0" collapsed="false">
      <c r="A16" s="52" t="n">
        <v>10</v>
      </c>
      <c r="B16" s="52" t="s">
        <v>269</v>
      </c>
      <c r="C16" s="53" t="str">
        <f aca="false">'RAW DATA Q2 - 1'!AJ$1</f>
        <v>How would you rate the Implementation of UAT?</v>
      </c>
      <c r="D16" s="54" t="n">
        <f aca="false">'RAW DATA Q2 - 1'!AJ5</f>
        <v>3</v>
      </c>
    </row>
    <row r="17" customFormat="false" ht="26.85" hidden="false" customHeight="false" outlineLevel="0" collapsed="false">
      <c r="A17" s="52" t="n">
        <v>11</v>
      </c>
      <c r="B17" s="52" t="s">
        <v>269</v>
      </c>
      <c r="C17" s="53" t="str">
        <f aca="false">'RAW DATA Q2 - 1'!AK$1</f>
        <v>How would you rate the maintenance includes bug fixing and support for system problems that occur in the JATIS MOBILE application/service?</v>
      </c>
      <c r="D17" s="54" t="n">
        <f aca="false">'RAW DATA Q2 - 1'!AK5</f>
        <v>3</v>
      </c>
    </row>
    <row r="18" customFormat="false" ht="26.85" hidden="false" customHeight="false" outlineLevel="0" collapsed="false">
      <c r="A18" s="55" t="n">
        <v>12</v>
      </c>
      <c r="B18" s="55" t="s">
        <v>270</v>
      </c>
      <c r="C18" s="56" t="str">
        <f aca="false">'RAW DATA Q2 - 1'!EX$1</f>
        <v>How would you rate the supplier's timeliness in delivering goods/services compared to the agreed-upon timeline?1</v>
      </c>
      <c r="D18" s="57" t="n">
        <f aca="false">'RAW DATA Q2 - 1'!EX5</f>
        <v>3</v>
      </c>
    </row>
    <row r="19" customFormat="false" ht="26.85" hidden="false" customHeight="false" outlineLevel="0" collapsed="false">
      <c r="A19" s="55" t="n">
        <v>13</v>
      </c>
      <c r="B19" s="55" t="s">
        <v>270</v>
      </c>
      <c r="C19" s="56" t="str">
        <f aca="false">'RAW DATA Q2 - 1'!EY$1</f>
        <v>How would you rate the supplier's timeliness in sending reports to you?
</v>
      </c>
      <c r="D19" s="57" t="n">
        <f aca="false">'RAW DATA Q2 - 1'!EY5</f>
        <v>3</v>
      </c>
    </row>
    <row r="20" customFormat="false" ht="26.85" hidden="false" customHeight="false" outlineLevel="0" collapsed="false">
      <c r="A20" s="55" t="n">
        <v>14</v>
      </c>
      <c r="B20" s="55" t="s">
        <v>270</v>
      </c>
      <c r="C20" s="56" t="str">
        <f aca="false">'RAW DATA Q2 - 1'!EZ$1</f>
        <v>How would you rate the supplier's Traffic Confirmation SLA Fulfillment?
</v>
      </c>
      <c r="D20" s="57" t="n">
        <f aca="false">'RAW DATA Q2 - 1'!EZ5</f>
        <v>3</v>
      </c>
    </row>
    <row r="21" customFormat="false" ht="39.55" hidden="false" customHeight="false" outlineLevel="0" collapsed="false">
      <c r="A21" s="55" t="n">
        <v>15</v>
      </c>
      <c r="B21" s="55" t="s">
        <v>270</v>
      </c>
      <c r="C21" s="56" t="str">
        <f aca="false">'RAW DATA Q2 - 1'!FA$1</f>
        <v>How would you rate the supplier's speed ​​of administrative completion, including completion of contracts draft?
</v>
      </c>
      <c r="D21" s="57" t="n">
        <f aca="false">'RAW DATA Q2 - 1'!FA5</f>
        <v>3</v>
      </c>
    </row>
    <row r="22" customFormat="false" ht="15" hidden="false" customHeight="false" outlineLevel="0" collapsed="false">
      <c r="A22" s="58" t="n">
        <v>16</v>
      </c>
      <c r="B22" s="58" t="s">
        <v>271</v>
      </c>
      <c r="C22" s="59" t="str">
        <f aca="false">'RAW DATA Q2 - 1'!FM$1</f>
        <v>How would you rate the supplier's communication with you?</v>
      </c>
      <c r="D22" s="60" t="n">
        <f aca="false">'RAW DATA Q2 - 1'!FM5</f>
        <v>3</v>
      </c>
    </row>
    <row r="23" customFormat="false" ht="26.85" hidden="false" customHeight="false" outlineLevel="0" collapsed="false">
      <c r="A23" s="58" t="n">
        <v>17</v>
      </c>
      <c r="B23" s="58" t="s">
        <v>271</v>
      </c>
      <c r="C23" s="59" t="str">
        <f aca="false">'RAW DATA Q2 - 1'!FN$1</f>
        <v>How would you rate the supplier's PIC's availability to be contacted when needed?</v>
      </c>
      <c r="D23" s="60" t="n">
        <f aca="false">'RAW DATA Q2 - 1'!FN5</f>
        <v>3</v>
      </c>
    </row>
    <row r="24" customFormat="false" ht="39.55" hidden="false" customHeight="false" outlineLevel="0" collapsed="false">
      <c r="A24" s="58" t="n">
        <v>18</v>
      </c>
      <c r="B24" s="58" t="s">
        <v>271</v>
      </c>
      <c r="C24" s="59" t="str">
        <f aca="false">'RAW DATA Q2 - 1'!FO$1</f>
        <v>How would you rate the supplier's response speed to you when there are issues?
</v>
      </c>
      <c r="D24" s="60" t="n">
        <f aca="false">'RAW DATA Q2 - 1'!FO5</f>
        <v>3</v>
      </c>
    </row>
    <row r="26" customFormat="false" ht="15" hidden="false" customHeight="false" outlineLevel="0" collapsed="false">
      <c r="A26" s="50" t="s">
        <v>272</v>
      </c>
      <c r="B26" s="61" t="n">
        <f aca="false">AVERAGEIF(B7:B24,"Quality",D7:D24)</f>
        <v>3</v>
      </c>
    </row>
    <row r="27" customFormat="false" ht="15" hidden="false" customHeight="false" outlineLevel="0" collapsed="false">
      <c r="A27" s="50" t="s">
        <v>273</v>
      </c>
      <c r="B27" s="61" t="n">
        <f aca="false">AVERAGEIF(B7:B24,"Timeline",D7:D24)</f>
        <v>3</v>
      </c>
    </row>
    <row r="28" customFormat="false" ht="15" hidden="false" customHeight="false" outlineLevel="0" collapsed="false">
      <c r="A28" s="50" t="s">
        <v>274</v>
      </c>
      <c r="B28" s="61" t="n">
        <f aca="false">AVERAGEIF(B7:B24,"Relationship",D7:D24)</f>
        <v>3</v>
      </c>
    </row>
    <row r="29" customFormat="false" ht="15" hidden="false" customHeight="false" outlineLevel="0" collapsed="false">
      <c r="A29" s="50" t="s">
        <v>275</v>
      </c>
      <c r="B29" s="62" t="n">
        <f aca="false">B26*0.35+B27*0.35+B28*0.3</f>
        <v>3</v>
      </c>
    </row>
    <row r="30" customFormat="false" ht="15" hidden="false" customHeight="false" outlineLevel="0" collapsed="false">
      <c r="A30" s="50" t="s">
        <v>276</v>
      </c>
      <c r="B30" s="50" t="str">
        <f aca="false">IF(B29&gt;4.99,"Exceptional",IF(B29&gt;3.99,"Exceed Expectation",IF(B29&gt;=2.99,"Meet Expectation",IF(B29&gt;1.9,"Below Expectation","Unsatisfactory"))))</f>
        <v>Meet Expectation</v>
      </c>
    </row>
    <row r="32" customFormat="false" ht="15" hidden="false" customHeight="false" outlineLevel="0" collapsed="false">
      <c r="A32" s="63" t="s">
        <v>277</v>
      </c>
    </row>
    <row r="33" customFormat="false" ht="15" hidden="false" customHeight="false" outlineLevel="0" collapsed="false">
      <c r="A33" s="46" t="s">
        <v>278</v>
      </c>
      <c r="B33" s="64" t="str">
        <f aca="false">'RAW DATA Q2 - 1'!FP5</f>
        <v>Yes</v>
      </c>
    </row>
    <row r="34" customFormat="false" ht="15" hidden="false" customHeight="false" outlineLevel="0" collapsed="false">
      <c r="A34" s="46" t="s">
        <v>279</v>
      </c>
      <c r="B34" s="64" t="str">
        <f aca="false">'RAW DATA Q2 - 1'!FQ5</f>
        <v>Yes</v>
      </c>
    </row>
    <row r="35" customFormat="false" ht="41.75" hidden="false" customHeight="false" outlineLevel="0" collapsed="false">
      <c r="A35" s="46" t="s">
        <v>280</v>
      </c>
      <c r="B35" s="64" t="str">
        <f aca="false">'RAW DATA Q2 - 1'!FR5</f>
        <v>Yes, DPIA completed and there are actions to be done by Project Owner</v>
      </c>
    </row>
    <row r="36" customFormat="false" ht="15" hidden="false" customHeight="false" outlineLevel="0" collapsed="false">
      <c r="A36" s="46" t="s">
        <v>281</v>
      </c>
      <c r="B36" s="64" t="str">
        <f aca="false">'RAW DATA Q2 - 1'!FS5</f>
        <v>Yes, DPSQ completed</v>
      </c>
    </row>
    <row r="37" customFormat="false" ht="41.75" hidden="false" customHeight="false" outlineLevel="0" collapsed="false">
      <c r="A37" s="46" t="s">
        <v>282</v>
      </c>
      <c r="B37" s="64" t="str">
        <f aca="false">'RAW DATA Q2 - 1'!FT5</f>
        <v>Yes, VSDDT completed and there are actions to be done by supplier</v>
      </c>
    </row>
    <row r="38" customFormat="false" ht="15" hidden="false" customHeight="false" outlineLevel="0" collapsed="false">
      <c r="A38" s="46" t="s">
        <v>283</v>
      </c>
    </row>
    <row r="40" customFormat="false" ht="15" hidden="false" customHeight="false" outlineLevel="0" collapsed="false">
      <c r="A40" s="63" t="s">
        <v>284</v>
      </c>
    </row>
    <row r="41" customFormat="false" ht="28.35" hidden="false" customHeight="false" outlineLevel="0" collapsed="false">
      <c r="B41" s="65" t="str">
        <f aca="false">'RAW DATA Q2 - 1'!FU5</f>
        <v>So far, Jatis Vendor has provided good service. Their response time is fast, and they are able to provide effective solutions whenever issues arise</v>
      </c>
      <c r="C41" s="65"/>
      <c r="D41" s="65"/>
    </row>
  </sheetData>
  <mergeCells count="2">
    <mergeCell ref="A1:D1"/>
    <mergeCell ref="B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215</v>
      </c>
    </row>
    <row r="3" customFormat="false" ht="15" hidden="false" customHeight="false" outlineLevel="0" collapsed="false">
      <c r="A3" s="50" t="s">
        <v>29</v>
      </c>
      <c r="B3" s="46" t="s">
        <v>220</v>
      </c>
    </row>
    <row r="4" customFormat="false" ht="15" hidden="false" customHeight="false" outlineLevel="0" collapsed="false">
      <c r="A4" s="50" t="s">
        <v>266</v>
      </c>
      <c r="B4" s="46" t="s">
        <v>221</v>
      </c>
    </row>
    <row r="5" customFormat="false" ht="15" hidden="false" customHeight="false" outlineLevel="0" collapsed="false">
      <c r="A5" s="50" t="s">
        <v>286</v>
      </c>
      <c r="B5" s="46" t="s">
        <v>287</v>
      </c>
    </row>
    <row r="7" customFormat="false" ht="15" hidden="false" customHeight="false" outlineLevel="0" collapsed="false">
      <c r="A7" s="51" t="s">
        <v>52</v>
      </c>
      <c r="B7" s="51" t="s">
        <v>267</v>
      </c>
      <c r="C7" s="51" t="s">
        <v>268</v>
      </c>
      <c r="D7" s="51" t="s">
        <v>37</v>
      </c>
    </row>
    <row r="8" customFormat="false" ht="26.85" hidden="false" customHeight="false" outlineLevel="0" collapsed="false">
      <c r="A8" s="52" t="n">
        <v>1</v>
      </c>
      <c r="B8" s="52" t="s">
        <v>269</v>
      </c>
      <c r="C8" s="53" t="str">
        <f aca="false">'RAW DATA Q2 - 1'!DI$1</f>
        <v>How would you rate the goods/services provided by the Supplier against the agreed standards3</v>
      </c>
      <c r="D8" s="54" t="n">
        <f aca="false">AVERAGE('RAW DATA Q2 - 1'!DI6,'RAW DATA Q2 - 1'!DI7)</f>
        <v>3.5</v>
      </c>
    </row>
    <row r="9" customFormat="false" ht="15" hidden="false" customHeight="false" outlineLevel="0" collapsed="false">
      <c r="A9" s="52" t="n">
        <v>2</v>
      </c>
      <c r="B9" s="52" t="s">
        <v>269</v>
      </c>
      <c r="C9" s="53" t="str">
        <f aca="false">'RAW DATA Q2 - 1'!DJ$1</f>
        <v>How would you rate the accuracy of the data in the Supplier's reports?5</v>
      </c>
      <c r="D9" s="54" t="n">
        <f aca="false">AVERAGE('RAW DATA Q2 - 1'!DJ6,'RAW DATA Q2 - 1'!DJ7)</f>
        <v>2.5</v>
      </c>
    </row>
    <row r="10" customFormat="false" ht="26.85" hidden="false" customHeight="false" outlineLevel="0" collapsed="false">
      <c r="A10" s="52" t="n">
        <v>3</v>
      </c>
      <c r="B10" s="52" t="s">
        <v>269</v>
      </c>
      <c r="C10" s="53" t="str">
        <f aca="false">'RAW DATA Q2 - 1'!DK$1</f>
        <v>How would you rate overall quality of the work reports provided by the Supplier?5</v>
      </c>
      <c r="D10" s="54" t="n">
        <f aca="false">AVERAGE('RAW DATA Q2 - 1'!DK6,'RAW DATA Q2 - 1'!DK7)</f>
        <v>3</v>
      </c>
    </row>
    <row r="11" customFormat="false" ht="15" hidden="false" customHeight="false" outlineLevel="0" collapsed="false">
      <c r="A11" s="52" t="n">
        <v>4</v>
      </c>
      <c r="B11" s="52" t="s">
        <v>269</v>
      </c>
      <c r="C11" s="53" t="str">
        <f aca="false">'RAW DATA Q2 - 1'!DL$1</f>
        <v>How would you rate the solutions provided when there is trouble?5</v>
      </c>
      <c r="D11" s="54" t="n">
        <f aca="false">AVERAGE('RAW DATA Q2 - 1'!DL6,'RAW DATA Q2 - 1'!DL7)</f>
        <v>3</v>
      </c>
    </row>
    <row r="12" customFormat="false" ht="15" hidden="false" customHeight="false" outlineLevel="0" collapsed="false">
      <c r="A12" s="52" t="n">
        <v>5</v>
      </c>
      <c r="B12" s="52" t="s">
        <v>269</v>
      </c>
      <c r="C12" s="53" t="str">
        <f aca="false">'RAW DATA Q2 - 1'!DM$1</f>
        <v>How would you rate the resolution to the problem that occurred?5</v>
      </c>
      <c r="D12" s="54" t="n">
        <f aca="false">AVERAGE('RAW DATA Q2 - 1'!DM6,'RAW DATA Q2 - 1'!DM7)</f>
        <v>2.5</v>
      </c>
    </row>
    <row r="13" customFormat="false" ht="15" hidden="false" customHeight="false" outlineLevel="0" collapsed="false">
      <c r="A13" s="52" t="n">
        <v>6</v>
      </c>
      <c r="B13" s="52" t="s">
        <v>269</v>
      </c>
      <c r="C13" s="53" t="str">
        <f aca="false">'RAW DATA Q2 - 1'!DN$1</f>
        <v>How would you rate the speed of resolution given to problems that occur</v>
      </c>
      <c r="D13" s="54" t="n">
        <f aca="false">AVERAGE('RAW DATA Q2 - 1'!DN6,'RAW DATA Q2 - 1'!DN7)</f>
        <v>3.5</v>
      </c>
    </row>
    <row r="14" customFormat="false" ht="26.85" hidden="false" customHeight="false" outlineLevel="0" collapsed="false">
      <c r="A14" s="52" t="n">
        <v>7</v>
      </c>
      <c r="B14" s="52" t="s">
        <v>269</v>
      </c>
      <c r="C14" s="53" t="str">
        <f aca="false">'RAW DATA Q2 - 1'!DO$1</f>
        <v>How would you rate the supplier initiative to take mitigation/preventive action to prevent the problem from recurring?6</v>
      </c>
      <c r="D14" s="54" t="n">
        <f aca="false">AVERAGE('RAW DATA Q2 - 1'!DO6,'RAW DATA Q2 - 1'!DO7)</f>
        <v>3</v>
      </c>
    </row>
    <row r="15" customFormat="false" ht="26.85" hidden="false" customHeight="false" outlineLevel="0" collapsed="false">
      <c r="A15" s="52" t="n">
        <v>8</v>
      </c>
      <c r="B15" s="52" t="s">
        <v>269</v>
      </c>
      <c r="C15" s="53" t="str">
        <f aca="false">'RAW DATA Q2 - 1'!DP$1</f>
        <v>How would you rate supplier compliance with administrative processes, including completion of draft cooperation contract?6</v>
      </c>
      <c r="D15" s="54" t="n">
        <f aca="false">AVERAGE('RAW DATA Q2 - 1'!DP6,'RAW DATA Q2 - 1'!DP7)</f>
        <v>3</v>
      </c>
    </row>
    <row r="16" customFormat="false" ht="15" hidden="false" customHeight="false" outlineLevel="0" collapsed="false">
      <c r="A16" s="52" t="n">
        <v>9</v>
      </c>
      <c r="B16" s="52" t="s">
        <v>269</v>
      </c>
      <c r="C16" s="53" t="str">
        <f aca="false">'RAW DATA Q2 - 1'!DQ$1</f>
        <v>How would you rate the shipping target achievement?</v>
      </c>
      <c r="D16" s="54" t="n">
        <f aca="false">AVERAGE('RAW DATA Q2 - 1'!DQ6,'RAW DATA Q2 - 1'!DQ7)</f>
        <v>2.5</v>
      </c>
    </row>
    <row r="17" customFormat="false" ht="39.55" hidden="false" customHeight="false" outlineLevel="0" collapsed="false">
      <c r="A17" s="52" t="n">
        <v>10</v>
      </c>
      <c r="B17" s="52" t="s">
        <v>269</v>
      </c>
      <c r="C17" s="53" t="str">
        <f aca="false">'RAW DATA Q2 - 1'!DR$1</f>
        <v>How would you rate the delivery times? Based on SLA, the delivery time are Monday to Saturday, service levels will remain the same from Monday to Friday.</v>
      </c>
      <c r="D17" s="54" t="n">
        <f aca="false">AVERAGE('RAW DATA Q2 - 1'!DR6,'RAW DATA Q2 - 1'!DR7)</f>
        <v>2.5</v>
      </c>
    </row>
    <row r="18" customFormat="false" ht="15" hidden="false" customHeight="false" outlineLevel="0" collapsed="false">
      <c r="A18" s="52" t="n">
        <v>11</v>
      </c>
      <c r="B18" s="52" t="s">
        <v>269</v>
      </c>
      <c r="C18" s="53" t="str">
        <f aca="false">'RAW DATA Q2 - 1'!DS$1</f>
        <v>How would you rate the Receipt retention period?</v>
      </c>
      <c r="D18" s="54" t="n">
        <f aca="false">AVERAGE('RAW DATA Q2 - 1'!DS6,'RAW DATA Q2 - 1'!DS7)</f>
        <v>2.5</v>
      </c>
    </row>
    <row r="19" customFormat="false" ht="15" hidden="false" customHeight="false" outlineLevel="0" collapsed="false">
      <c r="A19" s="52" t="n">
        <v>12</v>
      </c>
      <c r="B19" s="52" t="s">
        <v>269</v>
      </c>
      <c r="C19" s="53" t="str">
        <f aca="false">'RAW DATA Q2 - 1'!DT$1</f>
        <v>How would you rate the Airway Bill Storage:</v>
      </c>
      <c r="D19" s="54" t="n">
        <f aca="false">AVERAGE('RAW DATA Q2 - 1'!DT6,'RAW DATA Q2 - 1'!DT7)</f>
        <v>3.5</v>
      </c>
    </row>
    <row r="20" customFormat="false" ht="26.85" hidden="false" customHeight="false" outlineLevel="0" collapsed="false">
      <c r="A20" s="52" t="n">
        <v>13</v>
      </c>
      <c r="B20" s="52" t="s">
        <v>269</v>
      </c>
      <c r="C20" s="53" t="str">
        <f aca="false">'RAW DATA Q2 - 1'!DU$1</f>
        <v>How would you rate the Handling of Policies/Documents and/or delivery process?</v>
      </c>
      <c r="D20" s="54" t="n">
        <f aca="false">AVERAGE('RAW DATA Q2 - 1'!DU6,'RAW DATA Q2 - 1'!DU7)</f>
        <v>3</v>
      </c>
    </row>
    <row r="21" customFormat="false" ht="26.85" hidden="false" customHeight="false" outlineLevel="0" collapsed="false">
      <c r="A21" s="52" t="n">
        <v>14</v>
      </c>
      <c r="B21" s="52" t="s">
        <v>269</v>
      </c>
      <c r="C21" s="53" t="str">
        <f aca="false">'RAW DATA Q2 - 1'!DV$1</f>
        <v>How would you rate the response to complaints/investigations of the delivery process?</v>
      </c>
      <c r="D21" s="54" t="n">
        <f aca="false">AVERAGE('RAW DATA Q2 - 1'!DV6,'RAW DATA Q2 - 1'!DV7)</f>
        <v>3.5</v>
      </c>
    </row>
    <row r="22" customFormat="false" ht="15" hidden="false" customHeight="false" outlineLevel="0" collapsed="false">
      <c r="A22" s="52" t="n">
        <v>15</v>
      </c>
      <c r="B22" s="52" t="s">
        <v>269</v>
      </c>
      <c r="C22" s="53" t="str">
        <f aca="false">'RAW DATA Q2 - 1'!DW$1</f>
        <v>How would you rate the response taken when a delivery failure occurs?</v>
      </c>
      <c r="D22" s="54" t="n">
        <f aca="false">AVERAGE('RAW DATA Q2 - 1'!DW6,'RAW DATA Q2 - 1'!DW7)</f>
        <v>3</v>
      </c>
    </row>
    <row r="23" customFormat="false" ht="26.85" hidden="false" customHeight="false" outlineLevel="0" collapsed="false">
      <c r="A23" s="55" t="n">
        <v>16</v>
      </c>
      <c r="B23" s="55" t="s">
        <v>270</v>
      </c>
      <c r="C23" s="56" t="str">
        <f aca="false">'RAW DATA Q2 - 1'!FJ$1</f>
        <v>How would you rate the supplier's timeliness in delivering goods/services compared to the agreed-upon timeline?4</v>
      </c>
      <c r="D23" s="57" t="n">
        <f aca="false">AVERAGE('RAW DATA Q2 - 1'!FJ6,'RAW DATA Q2 - 1'!FJ7)</f>
        <v>2.5</v>
      </c>
    </row>
    <row r="24" customFormat="false" ht="15" hidden="false" customHeight="false" outlineLevel="0" collapsed="false">
      <c r="A24" s="55" t="n">
        <v>17</v>
      </c>
      <c r="B24" s="55" t="s">
        <v>270</v>
      </c>
      <c r="C24" s="56" t="str">
        <f aca="false">'RAW DATA Q2 - 1'!FK$1</f>
        <v>How would you rate the supplier's timeliness in sending reports to you?1</v>
      </c>
      <c r="D24" s="57" t="n">
        <f aca="false">AVERAGE('RAW DATA Q2 - 1'!FK6,'RAW DATA Q2 - 1'!FK7)</f>
        <v>3.5</v>
      </c>
    </row>
    <row r="25" customFormat="false" ht="26.85" hidden="false" customHeight="false" outlineLevel="0" collapsed="false">
      <c r="A25" s="55" t="n">
        <v>18</v>
      </c>
      <c r="B25" s="55" t="s">
        <v>270</v>
      </c>
      <c r="C25" s="56" t="str">
        <f aca="false">'RAW DATA Q2 - 1'!FL$1</f>
        <v>How would you rate the supplier's speed ​​of administrative completion, including completion of contracts draft?2</v>
      </c>
      <c r="D25" s="57" t="n">
        <f aca="false">AVERAGE('RAW DATA Q2 - 1'!FL6,'RAW DATA Q2 - 1'!FL7)</f>
        <v>3</v>
      </c>
    </row>
    <row r="26" customFormat="false" ht="15" hidden="false" customHeight="false" outlineLevel="0" collapsed="false">
      <c r="A26" s="58" t="n">
        <v>19</v>
      </c>
      <c r="B26" s="58" t="s">
        <v>271</v>
      </c>
      <c r="C26" s="59" t="str">
        <f aca="false">'RAW DATA Q2 - 1'!FM$1</f>
        <v>How would you rate the supplier's communication with you?</v>
      </c>
      <c r="D26" s="60" t="n">
        <f aca="false">AVERAGE('RAW DATA Q2 - 1'!FM6,'RAW DATA Q2 - 1'!FM7)</f>
        <v>4</v>
      </c>
    </row>
    <row r="27" customFormat="false" ht="26.85" hidden="false" customHeight="false" outlineLevel="0" collapsed="false">
      <c r="A27" s="58" t="n">
        <v>20</v>
      </c>
      <c r="B27" s="58" t="s">
        <v>271</v>
      </c>
      <c r="C27" s="59" t="str">
        <f aca="false">'RAW DATA Q2 - 1'!FN$1</f>
        <v>How would you rate the supplier's PIC's availability to be contacted when needed?</v>
      </c>
      <c r="D27" s="60" t="n">
        <f aca="false">AVERAGE('RAW DATA Q2 - 1'!FN6,'RAW DATA Q2 - 1'!FN7)</f>
        <v>4</v>
      </c>
    </row>
    <row r="28" customFormat="false" ht="39.55" hidden="false" customHeight="false" outlineLevel="0" collapsed="false">
      <c r="A28" s="58" t="n">
        <v>21</v>
      </c>
      <c r="B28" s="58" t="s">
        <v>271</v>
      </c>
      <c r="C28" s="59" t="str">
        <f aca="false">'RAW DATA Q2 - 1'!FO$1</f>
        <v>How would you rate the supplier's response speed to you when there are issues?
</v>
      </c>
      <c r="D28" s="60" t="n">
        <f aca="false">AVERAGE('RAW DATA Q2 - 1'!FO6,'RAW DATA Q2 - 1'!FO7)</f>
        <v>3.5</v>
      </c>
    </row>
    <row r="30" customFormat="false" ht="15" hidden="false" customHeight="false" outlineLevel="0" collapsed="false">
      <c r="A30" s="50" t="s">
        <v>272</v>
      </c>
      <c r="B30" s="61" t="n">
        <f aca="false">AVERAGEIF(B8:B28,"Quality",D8:D28)</f>
        <v>2.96666666666667</v>
      </c>
    </row>
    <row r="31" customFormat="false" ht="15" hidden="false" customHeight="false" outlineLevel="0" collapsed="false">
      <c r="A31" s="50" t="s">
        <v>273</v>
      </c>
      <c r="B31" s="61" t="n">
        <f aca="false">AVERAGEIF(B8:B28,"Timeline",D8:D28)</f>
        <v>3</v>
      </c>
    </row>
    <row r="32" customFormat="false" ht="15" hidden="false" customHeight="false" outlineLevel="0" collapsed="false">
      <c r="A32" s="50" t="s">
        <v>274</v>
      </c>
      <c r="B32" s="61" t="n">
        <f aca="false">AVERAGEIF(B8:B28,"Relationship",D8:D28)</f>
        <v>3.83333333333333</v>
      </c>
    </row>
    <row r="33" customFormat="false" ht="15" hidden="false" customHeight="false" outlineLevel="0" collapsed="false">
      <c r="A33" s="50" t="s">
        <v>275</v>
      </c>
      <c r="B33" s="62" t="n">
        <f aca="false">B30*0.35+B31*0.35+B32*0.3</f>
        <v>3.23833333333333</v>
      </c>
    </row>
    <row r="34" customFormat="false" ht="15" hidden="false" customHeight="false" outlineLevel="0" collapsed="false">
      <c r="A34" s="50" t="s">
        <v>276</v>
      </c>
      <c r="B34" s="50" t="str">
        <f aca="false">IF(B33&gt;4.99,"Exceptional",IF(B33&gt;3.99,"Exceed Expectation",IF(B33&gt;=2.99,"Meet Expectation",IF(B33&gt;1.9,"Below Expectation","Unsatisfactory"))))</f>
        <v>Meet Expectation</v>
      </c>
    </row>
    <row r="36" customFormat="false" ht="15" hidden="false" customHeight="false" outlineLevel="0" collapsed="false">
      <c r="A36" s="63" t="s">
        <v>277</v>
      </c>
    </row>
    <row r="37" customFormat="false" ht="15" hidden="false" customHeight="false" outlineLevel="0" collapsed="false">
      <c r="B37" s="50" t="s">
        <v>219</v>
      </c>
      <c r="C37" s="50" t="s">
        <v>288</v>
      </c>
    </row>
    <row r="38" customFormat="false" ht="15" hidden="false" customHeight="false" outlineLevel="0" collapsed="false">
      <c r="A38" s="46" t="s">
        <v>278</v>
      </c>
      <c r="B38" s="0" t="str">
        <f aca="false">'RAW DATA Q2 - 1'!FP6</f>
        <v>Yes</v>
      </c>
      <c r="C38" s="0" t="str">
        <f aca="false">'RAW DATA Q2 - 1'!FP7</f>
        <v>No</v>
      </c>
    </row>
    <row r="39" customFormat="false" ht="15" hidden="false" customHeight="false" outlineLevel="0" collapsed="false">
      <c r="A39" s="46" t="s">
        <v>279</v>
      </c>
      <c r="B39" s="0" t="str">
        <f aca="false">'RAW DATA Q2 - 1'!FQ6</f>
        <v>Yes</v>
      </c>
      <c r="C39" s="0" t="str">
        <f aca="false">'RAW DATA Q2 - 1'!FQ7</f>
        <v>Yes</v>
      </c>
    </row>
    <row r="40" customFormat="false" ht="15" hidden="false" customHeight="false" outlineLevel="0" collapsed="false">
      <c r="A40" s="46" t="s">
        <v>280</v>
      </c>
      <c r="B40" s="0" t="str">
        <f aca="false">'RAW DATA Q2 - 1'!FR6</f>
        <v>Yes, DPIA completed and there are actions to be done by Project Owner</v>
      </c>
      <c r="C40" s="0" t="str">
        <f aca="false">'RAW DATA Q2 - 1'!FR7</f>
        <v>No Implementation</v>
      </c>
    </row>
    <row r="41" customFormat="false" ht="15" hidden="false" customHeight="false" outlineLevel="0" collapsed="false">
      <c r="A41" s="46" t="s">
        <v>281</v>
      </c>
      <c r="B41" s="0" t="str">
        <f aca="false">'RAW DATA Q2 - 1'!FS6</f>
        <v>Yes, DPSQ completed</v>
      </c>
      <c r="C41" s="0" t="str">
        <f aca="false">'RAW DATA Q2 - 1'!FS7</f>
        <v>No Implementation</v>
      </c>
    </row>
    <row r="42" customFormat="false" ht="15" hidden="false" customHeight="false" outlineLevel="0" collapsed="false">
      <c r="A42" s="46" t="s">
        <v>282</v>
      </c>
      <c r="B42" s="0" t="str">
        <f aca="false">'RAW DATA Q2 - 1'!FT6</f>
        <v>Yes, VSDDT completed and there are actions to be done by supplier</v>
      </c>
      <c r="C42" s="0" t="str">
        <f aca="false">'RAW DATA Q2 - 1'!FT7</f>
        <v>No Implementation</v>
      </c>
    </row>
    <row r="43" customFormat="false" ht="15" hidden="false" customHeight="false" outlineLevel="0" collapsed="false">
      <c r="A43" s="46" t="s">
        <v>283</v>
      </c>
    </row>
    <row r="44" customFormat="false" ht="15" hidden="false" customHeight="false" outlineLevel="0" collapsed="false">
      <c r="A44" s="66" t="s">
        <v>289</v>
      </c>
      <c r="B44" s="67" t="s">
        <v>290</v>
      </c>
    </row>
    <row r="46" customFormat="false" ht="15" hidden="false" customHeight="false" outlineLevel="0" collapsed="false">
      <c r="A46" s="63" t="s">
        <v>284</v>
      </c>
    </row>
    <row r="47" customFormat="false" ht="68.65" hidden="false" customHeight="false" outlineLevel="0" collapsed="false">
      <c r="A47" s="50" t="s">
        <v>291</v>
      </c>
      <c r="B47" s="64" t="str">
        <f aca="false">'RAW DATA Q2 - 1'!FU6</f>
        <v>SAP has shown improvement in terms of reporting and provides a fast response whenever issues arise.</v>
      </c>
    </row>
    <row r="48" customFormat="false" ht="256.7" hidden="false" customHeight="false" outlineLevel="0" collapsed="false">
      <c r="A48" s="50" t="s">
        <v>292</v>
      </c>
      <c r="B48" s="64" t="str">
        <f aca="false">'RAW DATA Q2 - 1'!FU7</f>
        <v>1. untuk detail status pengiriman dokumen/barang harus diberikan keterangan penerima dengan lengkap dan jelas;
2. Maks. SLA pengiriman harus memenuhi sesuai dengan yang ditetapkan yaitu &lt;5% not meet SLA;
3. Invoice biaya pengiriman dikirimkan ke user yang sesuai dan dikirimkan tidak melebihi periode yang ditetapkan.
4. Report Stock sesuai dengan real stock di warehouse.
</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223</v>
      </c>
    </row>
    <row r="3" customFormat="false" ht="15" hidden="false" customHeight="false" outlineLevel="0" collapsed="false">
      <c r="A3" s="50" t="s">
        <v>29</v>
      </c>
      <c r="B3" s="46" t="s">
        <v>224</v>
      </c>
    </row>
    <row r="4" customFormat="false" ht="15" hidden="false" customHeight="false" outlineLevel="0" collapsed="false">
      <c r="A4" s="50" t="s">
        <v>266</v>
      </c>
      <c r="B4" s="46" t="s">
        <v>217</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Q2 - 1'!AY$1</f>
        <v>How would you rate The goods/services provided by the Supplier against the agreed standards</v>
      </c>
      <c r="D7" s="54" t="n">
        <f aca="false">'RAW DATA Q2 - 1'!AY12</f>
        <v>3</v>
      </c>
    </row>
    <row r="8" customFormat="false" ht="15" hidden="false" customHeight="false" outlineLevel="0" collapsed="false">
      <c r="A8" s="52" t="n">
        <v>2</v>
      </c>
      <c r="B8" s="52" t="s">
        <v>269</v>
      </c>
      <c r="C8" s="53" t="str">
        <f aca="false">'RAW DATA Q2 - 1'!AZ$1</f>
        <v>How would you rate the supplier's services?</v>
      </c>
      <c r="D8" s="54" t="n">
        <f aca="false">'RAW DATA Q2 - 1'!AZ12</f>
        <v>3</v>
      </c>
    </row>
    <row r="9" customFormat="false" ht="39.55" hidden="false" customHeight="false" outlineLevel="0" collapsed="false">
      <c r="A9" s="52" t="n">
        <v>3</v>
      </c>
      <c r="B9" s="52" t="s">
        <v>269</v>
      </c>
      <c r="C9" s="53" t="str">
        <f aca="false">'RAW DATA Q2 - 1'!BA$1</f>
        <v>How would you rate the supplier's service in providing a guarantee of administrative services for archive management, computer data collection for all AXA cartons, and ease of access for AXA to the ar</v>
      </c>
      <c r="D9" s="54" t="n">
        <f aca="false">'RAW DATA Q2 - 1'!BA12</f>
        <v>3</v>
      </c>
    </row>
    <row r="10" customFormat="false" ht="26.85" hidden="false" customHeight="false" outlineLevel="0" collapsed="false">
      <c r="A10" s="52" t="n">
        <v>4</v>
      </c>
      <c r="B10" s="52" t="s">
        <v>269</v>
      </c>
      <c r="C10" s="53" t="str">
        <f aca="false">'RAW DATA Q2 - 1'!BB$1</f>
        <v>How would you rate the supplier's service in providing the required number of empty cartons?</v>
      </c>
      <c r="D10" s="54" t="n">
        <f aca="false">'RAW DATA Q2 - 1'!BB12</f>
        <v>3</v>
      </c>
    </row>
    <row r="11" customFormat="false" ht="26.85" hidden="false" customHeight="false" outlineLevel="0" collapsed="false">
      <c r="A11" s="52" t="n">
        <v>5</v>
      </c>
      <c r="B11" s="52" t="s">
        <v>269</v>
      </c>
      <c r="C11" s="53" t="str">
        <f aca="false">'RAW DATA Q2 - 1'!BC$1</f>
        <v>How would you rate overall quality of the work reports provided by the Supplier?2</v>
      </c>
      <c r="D11" s="54" t="n">
        <f aca="false">'RAW DATA Q2 - 1'!BC12</f>
        <v>3</v>
      </c>
    </row>
    <row r="12" customFormat="false" ht="39.55" hidden="false" customHeight="false" outlineLevel="0" collapsed="false">
      <c r="A12" s="52" t="n">
        <v>6</v>
      </c>
      <c r="B12" s="52" t="s">
        <v>269</v>
      </c>
      <c r="C12" s="53" t="str">
        <f aca="false">'RAW DATA Q2 - 1'!BD$1</f>
        <v>How would you rate the completeness report containing the number of AXA cartons deposited in the supplier's warehouse, a list of cartons that are being borrowed (retrieval) and have not been returned </v>
      </c>
      <c r="D12" s="54" t="n">
        <f aca="false">'RAW DATA Q2 - 1'!BD12</f>
        <v>3</v>
      </c>
    </row>
    <row r="13" customFormat="false" ht="15" hidden="false" customHeight="false" outlineLevel="0" collapsed="false">
      <c r="A13" s="52" t="n">
        <v>7</v>
      </c>
      <c r="B13" s="52" t="s">
        <v>269</v>
      </c>
      <c r="C13" s="53" t="str">
        <f aca="false">'RAW DATA Q2 - 1'!BE$1</f>
        <v>How would you rate the solutions provided when there is trouble?2</v>
      </c>
      <c r="D13" s="54" t="n">
        <f aca="false">'RAW DATA Q2 - 1'!BE12</f>
        <v>3</v>
      </c>
    </row>
    <row r="14" customFormat="false" ht="15" hidden="false" customHeight="false" outlineLevel="0" collapsed="false">
      <c r="A14" s="52" t="n">
        <v>8</v>
      </c>
      <c r="B14" s="52" t="s">
        <v>269</v>
      </c>
      <c r="C14" s="53" t="str">
        <f aca="false">'RAW DATA Q2 - 1'!BF$1</f>
        <v>How would you rate the resolution to the problem that occurred?2</v>
      </c>
      <c r="D14" s="54" t="n">
        <f aca="false">'RAW DATA Q2 - 1'!BF12</f>
        <v>3</v>
      </c>
    </row>
    <row r="15" customFormat="false" ht="26.85" hidden="false" customHeight="false" outlineLevel="0" collapsed="false">
      <c r="A15" s="52" t="n">
        <v>9</v>
      </c>
      <c r="B15" s="52" t="s">
        <v>269</v>
      </c>
      <c r="C15" s="53" t="str">
        <f aca="false">'RAW DATA Q2 - 1'!BG$1</f>
        <v>How would you rate the speed of resolution given to problems that occur?2</v>
      </c>
      <c r="D15" s="54" t="n">
        <f aca="false">'RAW DATA Q2 - 1'!BG12</f>
        <v>3</v>
      </c>
    </row>
    <row r="16" customFormat="false" ht="26.85" hidden="false" customHeight="false" outlineLevel="0" collapsed="false">
      <c r="A16" s="52" t="n">
        <v>10</v>
      </c>
      <c r="B16" s="52" t="s">
        <v>269</v>
      </c>
      <c r="C16" s="53" t="str">
        <f aca="false">'RAW DATA Q2 - 1'!BH$1</f>
        <v>How would you rate the supplier initiative to take mitigation/preventive action to prevent the problem from recurring?2</v>
      </c>
      <c r="D16" s="54" t="n">
        <f aca="false">'RAW DATA Q2 - 1'!BH12</f>
        <v>3</v>
      </c>
    </row>
    <row r="17" customFormat="false" ht="26.85" hidden="false" customHeight="false" outlineLevel="0" collapsed="false">
      <c r="A17" s="52" t="n">
        <v>11</v>
      </c>
      <c r="B17" s="52" t="s">
        <v>269</v>
      </c>
      <c r="C17" s="53" t="str">
        <f aca="false">'RAW DATA Q2 - 1'!BI$1</f>
        <v>How would you rate supplier compliance with administrative processes, including completion of draft cooperation contract?3</v>
      </c>
      <c r="D17" s="54" t="n">
        <f aca="false">'RAW DATA Q2 - 1'!BI12</f>
        <v>3</v>
      </c>
    </row>
    <row r="18" customFormat="false" ht="26.85" hidden="false" customHeight="false" outlineLevel="0" collapsed="false">
      <c r="A18" s="55" t="n">
        <v>12</v>
      </c>
      <c r="B18" s="55" t="s">
        <v>270</v>
      </c>
      <c r="C18" s="56" t="str">
        <f aca="false">'RAW DATA Q2 - 1'!FB$1</f>
        <v>How would you rate the supplier's timeliness in delivering goods/services compared to the agreed-upon timeline?2</v>
      </c>
      <c r="D18" s="57" t="n">
        <f aca="false">'RAW DATA Q2 - 1'!FB12</f>
        <v>3</v>
      </c>
    </row>
    <row r="19" customFormat="false" ht="52.2" hidden="false" customHeight="false" outlineLevel="0" collapsed="false">
      <c r="A19" s="55" t="n">
        <v>13</v>
      </c>
      <c r="B19" s="55" t="s">
        <v>270</v>
      </c>
      <c r="C19" s="56" t="str">
        <f aca="false">'RAW DATA Q2 - 1'!FC$1</f>
        <v>How would you rate the supplier's timeliness in sending reports to you? Based on SLA, suppliers must provide reports on the 10th of each month.
</v>
      </c>
      <c r="D19" s="57" t="n">
        <f aca="false">'RAW DATA Q2 - 1'!FC12</f>
        <v>3</v>
      </c>
    </row>
    <row r="20" customFormat="false" ht="39.55" hidden="false" customHeight="false" outlineLevel="0" collapsed="false">
      <c r="A20" s="55" t="n">
        <v>14</v>
      </c>
      <c r="B20" s="55" t="s">
        <v>270</v>
      </c>
      <c r="C20" s="56" t="str">
        <f aca="false">'RAW DATA Q2 - 1'!FD$1</f>
        <v>How would you rate the supplier's speed ​​of administrative completion, including completion of contracts draft?
1</v>
      </c>
      <c r="D20" s="57" t="n">
        <f aca="false">'RAW DATA Q2 - 1'!FD12</f>
        <v>3</v>
      </c>
    </row>
    <row r="21" customFormat="false" ht="26.85" hidden="false" customHeight="false" outlineLevel="0" collapsed="false">
      <c r="A21" s="55" t="n">
        <v>15</v>
      </c>
      <c r="B21" s="55" t="s">
        <v>270</v>
      </c>
      <c r="C21" s="56" t="str">
        <f aca="false">'RAW DATA Q2 - 1'!FE$1</f>
        <v>How would you rate the supplier's SLA Fulfillment?
</v>
      </c>
      <c r="D21" s="57" t="n">
        <f aca="false">'RAW DATA Q2 - 1'!FE12</f>
        <v>3</v>
      </c>
    </row>
    <row r="22" customFormat="false" ht="15" hidden="false" customHeight="false" outlineLevel="0" collapsed="false">
      <c r="A22" s="58" t="n">
        <v>16</v>
      </c>
      <c r="B22" s="58" t="s">
        <v>271</v>
      </c>
      <c r="C22" s="59" t="str">
        <f aca="false">'RAW DATA Q2 - 1'!FM$1</f>
        <v>How would you rate the supplier's communication with you?</v>
      </c>
      <c r="D22" s="60" t="n">
        <f aca="false">'RAW DATA Q2 - 1'!FM12</f>
        <v>3</v>
      </c>
    </row>
    <row r="23" customFormat="false" ht="26.85" hidden="false" customHeight="false" outlineLevel="0" collapsed="false">
      <c r="A23" s="58" t="n">
        <v>17</v>
      </c>
      <c r="B23" s="58" t="s">
        <v>271</v>
      </c>
      <c r="C23" s="59" t="str">
        <f aca="false">'RAW DATA Q2 - 1'!FN$1</f>
        <v>How would you rate the supplier's PIC's availability to be contacted when needed?</v>
      </c>
      <c r="D23" s="60" t="n">
        <f aca="false">'RAW DATA Q2 - 1'!FN12</f>
        <v>3</v>
      </c>
    </row>
    <row r="24" customFormat="false" ht="39.55" hidden="false" customHeight="false" outlineLevel="0" collapsed="false">
      <c r="A24" s="58" t="n">
        <v>18</v>
      </c>
      <c r="B24" s="58" t="s">
        <v>271</v>
      </c>
      <c r="C24" s="59" t="str">
        <f aca="false">'RAW DATA Q2 - 1'!FO$1</f>
        <v>How would you rate the supplier's response speed to you when there are issues?
</v>
      </c>
      <c r="D24" s="60" t="n">
        <f aca="false">'RAW DATA Q2 - 1'!FO12</f>
        <v>3</v>
      </c>
    </row>
    <row r="26" customFormat="false" ht="15" hidden="false" customHeight="false" outlineLevel="0" collapsed="false">
      <c r="A26" s="50" t="s">
        <v>272</v>
      </c>
      <c r="B26" s="61" t="n">
        <f aca="false">AVERAGEIF(B7:B24,"Quality",D7:D24)</f>
        <v>3</v>
      </c>
    </row>
    <row r="27" customFormat="false" ht="15" hidden="false" customHeight="false" outlineLevel="0" collapsed="false">
      <c r="A27" s="50" t="s">
        <v>273</v>
      </c>
      <c r="B27" s="61" t="n">
        <f aca="false">AVERAGEIF(B7:B24,"Timeline",D7:D24)</f>
        <v>3</v>
      </c>
    </row>
    <row r="28" customFormat="false" ht="15" hidden="false" customHeight="false" outlineLevel="0" collapsed="false">
      <c r="A28" s="50" t="s">
        <v>274</v>
      </c>
      <c r="B28" s="61" t="n">
        <f aca="false">AVERAGEIF(B7:B24,"Relationship",D7:D24)</f>
        <v>3</v>
      </c>
    </row>
    <row r="29" customFormat="false" ht="15" hidden="false" customHeight="false" outlineLevel="0" collapsed="false">
      <c r="A29" s="50" t="s">
        <v>275</v>
      </c>
      <c r="B29" s="62" t="n">
        <f aca="false">B26*0.35+B27*0.35+B28*0.3</f>
        <v>3</v>
      </c>
    </row>
    <row r="30" customFormat="false" ht="15" hidden="false" customHeight="false" outlineLevel="0" collapsed="false">
      <c r="A30" s="50" t="s">
        <v>276</v>
      </c>
      <c r="B30" s="50" t="str">
        <f aca="false">IF(B29&gt;4.99,"Exceptional",IF(B29&gt;3.99,"Exceed Expectation",IF(B29&gt;=2.99,"Meet Expectation",IF(B29&gt;1.9,"Below Expectation","Unsatisfactory"))))</f>
        <v>Meet Expectation</v>
      </c>
    </row>
    <row r="32" customFormat="false" ht="15" hidden="false" customHeight="false" outlineLevel="0" collapsed="false">
      <c r="A32" s="63" t="s">
        <v>277</v>
      </c>
    </row>
    <row r="33" customFormat="false" ht="15" hidden="false" customHeight="false" outlineLevel="0" collapsed="false">
      <c r="A33" s="46" t="s">
        <v>278</v>
      </c>
      <c r="B33" s="64" t="str">
        <f aca="false">'RAW DATA Q2 - 1'!FP12</f>
        <v>Yes</v>
      </c>
    </row>
    <row r="34" customFormat="false" ht="15" hidden="false" customHeight="false" outlineLevel="0" collapsed="false">
      <c r="A34" s="46" t="s">
        <v>279</v>
      </c>
      <c r="B34" s="64" t="str">
        <f aca="false">'RAW DATA Q2 - 1'!FQ12</f>
        <v>Yes</v>
      </c>
    </row>
    <row r="35" customFormat="false" ht="41.75" hidden="false" customHeight="false" outlineLevel="0" collapsed="false">
      <c r="A35" s="46" t="s">
        <v>280</v>
      </c>
      <c r="B35" s="64" t="str">
        <f aca="false">'RAW DATA Q2 - 1'!FR12</f>
        <v>Yes, DPIA completed and there are actions to be done by Project Owner</v>
      </c>
    </row>
    <row r="36" customFormat="false" ht="15" hidden="false" customHeight="false" outlineLevel="0" collapsed="false">
      <c r="A36" s="46" t="s">
        <v>281</v>
      </c>
      <c r="B36" s="64" t="str">
        <f aca="false">'RAW DATA Q2 - 1'!FS12</f>
        <v>Yes, DPSQ completed</v>
      </c>
    </row>
    <row r="37" customFormat="false" ht="41.75" hidden="false" customHeight="false" outlineLevel="0" collapsed="false">
      <c r="A37" s="46" t="s">
        <v>282</v>
      </c>
      <c r="B37" s="64" t="str">
        <f aca="false">'RAW DATA Q2 - 1'!FT12</f>
        <v>Yes, VSDDT completed and there are actions to be done by supplier</v>
      </c>
    </row>
    <row r="38" customFormat="false" ht="15" hidden="false" customHeight="false" outlineLevel="0" collapsed="false">
      <c r="A38" s="46" t="s">
        <v>283</v>
      </c>
    </row>
    <row r="40" customFormat="false" ht="15" hidden="false" customHeight="false" outlineLevel="0" collapsed="false">
      <c r="A40" s="63" t="s">
        <v>284</v>
      </c>
    </row>
    <row r="41" customFormat="false" ht="15" hidden="false" customHeight="false" outlineLevel="0" collapsed="false">
      <c r="B41" s="65" t="str">
        <f aca="false">'RAW DATA Q2 - 1'!FU12</f>
        <v>..</v>
      </c>
      <c r="C41" s="65"/>
      <c r="D41" s="65"/>
    </row>
  </sheetData>
  <mergeCells count="2">
    <mergeCell ref="A1:D1"/>
    <mergeCell ref="B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225</v>
      </c>
    </row>
    <row r="3" customFormat="false" ht="15" hidden="false" customHeight="false" outlineLevel="0" collapsed="false">
      <c r="A3" s="50" t="s">
        <v>29</v>
      </c>
      <c r="B3" s="46" t="s">
        <v>226</v>
      </c>
    </row>
    <row r="4" customFormat="false" ht="15" hidden="false" customHeight="false" outlineLevel="0" collapsed="false">
      <c r="A4" s="50" t="s">
        <v>266</v>
      </c>
      <c r="B4" s="46" t="s">
        <v>227</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Q2 - 1'!H$1</f>
        <v>How would you rate Supplier's ability to understand and meet your needs?</v>
      </c>
      <c r="D7" s="54" t="n">
        <f aca="false">'RAW DATA Q2 - 1'!H3</f>
        <v>3</v>
      </c>
    </row>
    <row r="8" customFormat="false" ht="26.85" hidden="false" customHeight="false" outlineLevel="0" collapsed="false">
      <c r="A8" s="52" t="n">
        <v>2</v>
      </c>
      <c r="B8" s="52" t="s">
        <v>269</v>
      </c>
      <c r="C8" s="53" t="str">
        <f aca="false">'RAW DATA Q2 - 1'!I$1</f>
        <v>How would you rate the Quality of fulfillment of specifications required by Perfect Assistant?</v>
      </c>
      <c r="D8" s="54" t="n">
        <f aca="false">'RAW DATA Q2 - 1'!I3</f>
        <v>3</v>
      </c>
    </row>
    <row r="9" customFormat="false" ht="39.55" hidden="false" customHeight="false" outlineLevel="0" collapsed="false">
      <c r="A9" s="52" t="n">
        <v>3</v>
      </c>
      <c r="B9" s="52" t="s">
        <v>269</v>
      </c>
      <c r="C9" s="53" t="str">
        <f aca="false">'RAW DATA Q2 - 1'!J$1</f>
        <v>How would you rate the data model of source of leads on customer level, which contains Existing Customers, Potential Customers, and Hot Leads?</v>
      </c>
      <c r="D9" s="54" t="n">
        <f aca="false">'RAW DATA Q2 - 1'!J3</f>
        <v>4</v>
      </c>
    </row>
    <row r="10" customFormat="false" ht="26.85" hidden="false" customHeight="false" outlineLevel="0" collapsed="false">
      <c r="A10" s="52" t="n">
        <v>4</v>
      </c>
      <c r="B10" s="52" t="s">
        <v>269</v>
      </c>
      <c r="C10" s="53" t="str">
        <f aca="false">'RAW DATA Q2 - 1'!K$1</f>
        <v>How would you rate the Leads activity evidence and result details, such as Call, Appointment, Visit, and Closing result evidence?</v>
      </c>
      <c r="D10" s="54" t="n">
        <f aca="false">'RAW DATA Q2 - 1'!K3</f>
        <v>4</v>
      </c>
    </row>
    <row r="11" customFormat="false" ht="26.85" hidden="false" customHeight="false" outlineLevel="0" collapsed="false">
      <c r="A11" s="52" t="n">
        <v>5</v>
      </c>
      <c r="B11" s="52" t="s">
        <v>269</v>
      </c>
      <c r="C11" s="53" t="str">
        <f aca="false">'RAW DATA Q2 - 1'!L$1</f>
        <v>How would you rate the Sales Activity Management process, as tracked by the Sales Leader and sorted by time range?</v>
      </c>
      <c r="D11" s="54" t="n">
        <f aca="false">'RAW DATA Q2 - 1'!L3</f>
        <v>4</v>
      </c>
    </row>
    <row r="12" customFormat="false" ht="15" hidden="false" customHeight="false" outlineLevel="0" collapsed="false">
      <c r="A12" s="52" t="n">
        <v>6</v>
      </c>
      <c r="B12" s="52" t="s">
        <v>269</v>
      </c>
      <c r="C12" s="53" t="str">
        <f aca="false">'RAW DATA Q2 - 1'!M$1</f>
        <v>How would you rate the Notification to Sales Team which consist of:</v>
      </c>
      <c r="D12" s="54" t="n">
        <f aca="false">'RAW DATA Q2 - 1'!M3</f>
        <v>4</v>
      </c>
    </row>
    <row r="13" customFormat="false" ht="39.55" hidden="false" customHeight="false" outlineLevel="0" collapsed="false">
      <c r="A13" s="52" t="n">
        <v>7</v>
      </c>
      <c r="B13" s="52" t="s">
        <v>269</v>
      </c>
      <c r="C13" s="53" t="str">
        <f aca="false">'RAW DATA Q2 - 1'!N$1</f>
        <v>How would you rate the telephony features which enable to mask either/both Customers’ and Agents’ personal phone number for better customer service and better protection of Customers’ privacy?</v>
      </c>
      <c r="D13" s="54" t="n">
        <f aca="false">'RAW DATA Q2 - 1'!N3</f>
        <v>4</v>
      </c>
    </row>
    <row r="14" customFormat="false" ht="39.55" hidden="false" customHeight="false" outlineLevel="0" collapsed="false">
      <c r="A14" s="52" t="n">
        <v>8</v>
      </c>
      <c r="B14" s="52" t="s">
        <v>269</v>
      </c>
      <c r="C14" s="53" t="str">
        <f aca="false">'RAW DATA Q2 - 1'!O$1</f>
        <v>How would you rate the assignment features which enable leaders to re-assign the leads to other FA (e.g. FA resigned or move to other branch then the Leads will be assigned to existing FA)?</v>
      </c>
      <c r="D14" s="54" t="n">
        <f aca="false">'RAW DATA Q2 - 1'!O3</f>
        <v>3</v>
      </c>
    </row>
    <row r="15" customFormat="false" ht="26.85" hidden="false" customHeight="false" outlineLevel="0" collapsed="false">
      <c r="A15" s="52" t="n">
        <v>9</v>
      </c>
      <c r="B15" s="52" t="s">
        <v>269</v>
      </c>
      <c r="C15" s="53" t="str">
        <f aca="false">'RAW DATA Q2 - 1'!P$1</f>
        <v>How would you rate the System Availability, Redundancy, and Overload Protection?</v>
      </c>
      <c r="D15" s="54" t="n">
        <f aca="false">'RAW DATA Q2 - 1'!P3</f>
        <v>3</v>
      </c>
    </row>
    <row r="16" customFormat="false" ht="15" hidden="false" customHeight="false" outlineLevel="0" collapsed="false">
      <c r="A16" s="52" t="n">
        <v>10</v>
      </c>
      <c r="B16" s="52" t="s">
        <v>269</v>
      </c>
      <c r="C16" s="53" t="str">
        <f aca="false">'RAW DATA Q2 - 1'!Q$1</f>
        <v>How would you rate the Security Access?</v>
      </c>
      <c r="D16" s="54" t="n">
        <f aca="false">'RAW DATA Q2 - 1'!Q3</f>
        <v>4</v>
      </c>
    </row>
    <row r="17" customFormat="false" ht="15" hidden="false" customHeight="false" outlineLevel="0" collapsed="false">
      <c r="A17" s="52" t="n">
        <v>11</v>
      </c>
      <c r="B17" s="52" t="s">
        <v>269</v>
      </c>
      <c r="C17" s="53" t="str">
        <f aca="false">'RAW DATA Q2 - 1'!R$1</f>
        <v>How would you rate the Audit Trail?</v>
      </c>
      <c r="D17" s="54" t="n">
        <f aca="false">'RAW DATA Q2 - 1'!R3</f>
        <v>4</v>
      </c>
    </row>
    <row r="18" customFormat="false" ht="26.85" hidden="false" customHeight="false" outlineLevel="0" collapsed="false">
      <c r="A18" s="52" t="n">
        <v>12</v>
      </c>
      <c r="B18" s="52" t="s">
        <v>269</v>
      </c>
      <c r="C18" s="53" t="str">
        <f aca="false">'RAW DATA Q2 - 1'!S$1</f>
        <v>How would you rate the Overall Supplier's reports including Report of Leads activity record and tracking?</v>
      </c>
      <c r="D18" s="54" t="n">
        <f aca="false">'RAW DATA Q2 - 1'!S3</f>
        <v>4</v>
      </c>
    </row>
    <row r="19" customFormat="false" ht="26.85" hidden="false" customHeight="false" outlineLevel="0" collapsed="false">
      <c r="A19" s="52" t="n">
        <v>13</v>
      </c>
      <c r="B19" s="52" t="s">
        <v>269</v>
      </c>
      <c r="C19" s="53" t="str">
        <f aca="false">'RAW DATA Q2 - 1'!T$1</f>
        <v>How would you rate the Resources / Authorized Personel Commitment and Qualification?</v>
      </c>
      <c r="D19" s="54" t="n">
        <f aca="false">'RAW DATA Q2 - 1'!T3</f>
        <v>4</v>
      </c>
    </row>
    <row r="20" customFormat="false" ht="26.85" hidden="false" customHeight="false" outlineLevel="0" collapsed="false">
      <c r="A20" s="52" t="n">
        <v>14</v>
      </c>
      <c r="B20" s="52" t="s">
        <v>269</v>
      </c>
      <c r="C20" s="53" t="str">
        <f aca="false">'RAW DATA Q2 - 1'!U$1</f>
        <v>How would you rate supplier initiative to take mitigation/preventive action to prevent recurring problem?</v>
      </c>
      <c r="D20" s="54" t="n">
        <f aca="false">'RAW DATA Q2 - 1'!U3</f>
        <v>4</v>
      </c>
    </row>
    <row r="21" customFormat="false" ht="26.85" hidden="false" customHeight="false" outlineLevel="0" collapsed="false">
      <c r="A21" s="52" t="n">
        <v>15</v>
      </c>
      <c r="B21" s="52" t="s">
        <v>269</v>
      </c>
      <c r="C21" s="53" t="str">
        <f aca="false">'RAW DATA Q2 - 1'!V$1</f>
        <v>How would you rate supplier compliance with administrative processes, including completion of draft cooperation contract?</v>
      </c>
      <c r="D21" s="54" t="n">
        <f aca="false">'RAW DATA Q2 - 1'!V3</f>
        <v>4</v>
      </c>
    </row>
    <row r="22" customFormat="false" ht="15" hidden="false" customHeight="false" outlineLevel="0" collapsed="false">
      <c r="A22" s="52" t="n">
        <v>16</v>
      </c>
      <c r="B22" s="52" t="s">
        <v>269</v>
      </c>
      <c r="C22" s="53" t="str">
        <f aca="false">'RAW DATA Q2 - 1'!W$1</f>
        <v>How would you rate the Integration with Perfect Assistant?</v>
      </c>
      <c r="D22" s="54" t="n">
        <f aca="false">'RAW DATA Q2 - 1'!W3</f>
        <v>4</v>
      </c>
    </row>
    <row r="23" customFormat="false" ht="15" hidden="false" customHeight="false" outlineLevel="0" collapsed="false">
      <c r="A23" s="52" t="n">
        <v>17</v>
      </c>
      <c r="B23" s="52" t="s">
        <v>269</v>
      </c>
      <c r="C23" s="53" t="str">
        <f aca="false">'RAW DATA Q2 - 1'!X$1</f>
        <v>How would you rate the use of channels to avoid customer data leaks?</v>
      </c>
      <c r="D23" s="54" t="n">
        <f aca="false">'RAW DATA Q2 - 1'!X3</f>
        <v>4</v>
      </c>
    </row>
    <row r="24" customFormat="false" ht="15" hidden="false" customHeight="false" outlineLevel="0" collapsed="false">
      <c r="A24" s="52" t="n">
        <v>18</v>
      </c>
      <c r="B24" s="52" t="s">
        <v>269</v>
      </c>
      <c r="C24" s="53" t="str">
        <f aca="false">'RAW DATA Q2 - 1'!Y$1</f>
        <v>How would you rate the Access to the recording dashboard?</v>
      </c>
      <c r="D24" s="54" t="n">
        <f aca="false">'RAW DATA Q2 - 1'!Y3</f>
        <v>3</v>
      </c>
    </row>
    <row r="25" customFormat="false" ht="15" hidden="false" customHeight="false" outlineLevel="0" collapsed="false">
      <c r="A25" s="52" t="n">
        <v>19</v>
      </c>
      <c r="B25" s="52" t="s">
        <v>269</v>
      </c>
      <c r="C25" s="53" t="str">
        <f aca="false">'RAW DATA Q2 - 1'!Z$1</f>
        <v>How would you rate the Security compare to its standard? </v>
      </c>
      <c r="D25" s="54" t="n">
        <f aca="false">'RAW DATA Q2 - 1'!Z3</f>
        <v>3</v>
      </c>
    </row>
    <row r="26" customFormat="false" ht="26.85" hidden="false" customHeight="false" outlineLevel="0" collapsed="false">
      <c r="A26" s="55" t="n">
        <v>20</v>
      </c>
      <c r="B26" s="55" t="s">
        <v>270</v>
      </c>
      <c r="C26" s="56" t="str">
        <f aca="false">'RAW DATA Q2 - 1'!EU$1</f>
        <v>How would you rate the supplier's timeliness in delivering goods/services compared to the agreed-upon timeline?</v>
      </c>
      <c r="D26" s="57" t="n">
        <f aca="false">'RAW DATA Q2 - 1'!EU3</f>
        <v>3</v>
      </c>
    </row>
    <row r="27" customFormat="false" ht="15" hidden="false" customHeight="false" outlineLevel="0" collapsed="false">
      <c r="A27" s="55" t="n">
        <v>21</v>
      </c>
      <c r="B27" s="55" t="s">
        <v>270</v>
      </c>
      <c r="C27" s="56" t="str">
        <f aca="false">'RAW DATA Q2 - 1'!EV$1</f>
        <v>How would you rate the supplier's timeliness in sending reports to you?</v>
      </c>
      <c r="D27" s="57" t="n">
        <f aca="false">'RAW DATA Q2 - 1'!EV3</f>
        <v>3</v>
      </c>
    </row>
    <row r="28" customFormat="false" ht="26.85" hidden="false" customHeight="false" outlineLevel="0" collapsed="false">
      <c r="A28" s="55" t="n">
        <v>22</v>
      </c>
      <c r="B28" s="55" t="s">
        <v>270</v>
      </c>
      <c r="C28" s="56" t="str">
        <f aca="false">'RAW DATA Q2 - 1'!EW$1</f>
        <v>How would you rate the supplier's speed ​​of administrative completion, including completion of contracts draft?</v>
      </c>
      <c r="D28" s="57" t="n">
        <f aca="false">'RAW DATA Q2 - 1'!EW3</f>
        <v>3</v>
      </c>
    </row>
    <row r="29" customFormat="false" ht="15" hidden="false" customHeight="false" outlineLevel="0" collapsed="false">
      <c r="A29" s="58" t="n">
        <v>23</v>
      </c>
      <c r="B29" s="58" t="s">
        <v>271</v>
      </c>
      <c r="C29" s="59" t="str">
        <f aca="false">'RAW DATA Q2 - 1'!FM$1</f>
        <v>How would you rate the supplier's communication with you?</v>
      </c>
      <c r="D29" s="60" t="n">
        <f aca="false">'RAW DATA Q2 - 1'!FM3</f>
        <v>4</v>
      </c>
    </row>
    <row r="30" customFormat="false" ht="26.85" hidden="false" customHeight="false" outlineLevel="0" collapsed="false">
      <c r="A30" s="58" t="n">
        <v>24</v>
      </c>
      <c r="B30" s="58" t="s">
        <v>271</v>
      </c>
      <c r="C30" s="59" t="str">
        <f aca="false">'RAW DATA Q2 - 1'!FN$1</f>
        <v>How would you rate the supplier's PIC's availability to be contacted when needed?</v>
      </c>
      <c r="D30" s="60" t="n">
        <f aca="false">'RAW DATA Q2 - 1'!FN3</f>
        <v>4</v>
      </c>
    </row>
    <row r="31" customFormat="false" ht="39.55" hidden="false" customHeight="false" outlineLevel="0" collapsed="false">
      <c r="A31" s="58" t="n">
        <v>25</v>
      </c>
      <c r="B31" s="58" t="s">
        <v>271</v>
      </c>
      <c r="C31" s="59" t="str">
        <f aca="false">'RAW DATA Q2 - 1'!FO$1</f>
        <v>How would you rate the supplier's response speed to you when there are issues?
</v>
      </c>
      <c r="D31" s="60" t="n">
        <f aca="false">'RAW DATA Q2 - 1'!FO3</f>
        <v>3</v>
      </c>
    </row>
    <row r="33" customFormat="false" ht="15" hidden="false" customHeight="false" outlineLevel="0" collapsed="false">
      <c r="A33" s="50" t="s">
        <v>272</v>
      </c>
      <c r="B33" s="61" t="n">
        <f aca="false">AVERAGEIF(B7:B31,"Quality",D7:D31)</f>
        <v>3.68421052631579</v>
      </c>
    </row>
    <row r="34" customFormat="false" ht="15" hidden="false" customHeight="false" outlineLevel="0" collapsed="false">
      <c r="A34" s="50" t="s">
        <v>273</v>
      </c>
      <c r="B34" s="61" t="n">
        <f aca="false">AVERAGEIF(B7:B31,"Timeline",D7:D31)</f>
        <v>3</v>
      </c>
    </row>
    <row r="35" customFormat="false" ht="15" hidden="false" customHeight="false" outlineLevel="0" collapsed="false">
      <c r="A35" s="50" t="s">
        <v>274</v>
      </c>
      <c r="B35" s="61" t="n">
        <f aca="false">AVERAGEIF(B7:B31,"Relationship",D7:D31)</f>
        <v>3.66666666666667</v>
      </c>
    </row>
    <row r="36" customFormat="false" ht="15" hidden="false" customHeight="false" outlineLevel="0" collapsed="false">
      <c r="A36" s="50" t="s">
        <v>275</v>
      </c>
      <c r="B36" s="62" t="n">
        <f aca="false">B33*0.35+B34*0.35+B35*0.3</f>
        <v>3.43947368421053</v>
      </c>
    </row>
    <row r="37" customFormat="false" ht="15" hidden="false" customHeight="false" outlineLevel="0" collapsed="false">
      <c r="A37" s="50" t="s">
        <v>276</v>
      </c>
      <c r="B37" s="50" t="str">
        <f aca="false">IF(B36&gt;4.99,"Exceptional",IF(B36&gt;3.99,"Exceed Expectation",IF(B36&gt;=2.99,"Meet Expectation",IF(B36&gt;1.9,"Below Expectation","Unsatisfactory"))))</f>
        <v>Meet Expectation</v>
      </c>
    </row>
    <row r="39" customFormat="false" ht="15" hidden="false" customHeight="false" outlineLevel="0" collapsed="false">
      <c r="A39" s="63" t="s">
        <v>277</v>
      </c>
    </row>
    <row r="40" customFormat="false" ht="15" hidden="false" customHeight="false" outlineLevel="0" collapsed="false">
      <c r="A40" s="46" t="s">
        <v>278</v>
      </c>
      <c r="B40" s="64" t="str">
        <f aca="false">'RAW DATA Q2 - 1'!FP3</f>
        <v>Yes</v>
      </c>
    </row>
    <row r="41" customFormat="false" ht="15" hidden="false" customHeight="false" outlineLevel="0" collapsed="false">
      <c r="A41" s="46" t="s">
        <v>279</v>
      </c>
      <c r="B41" s="64" t="str">
        <f aca="false">'RAW DATA Q2 - 1'!FQ3</f>
        <v>Yes</v>
      </c>
    </row>
    <row r="42" customFormat="false" ht="15" hidden="false" customHeight="false" outlineLevel="0" collapsed="false">
      <c r="A42" s="46" t="s">
        <v>280</v>
      </c>
      <c r="B42" s="64" t="str">
        <f aca="false">'RAW DATA Q2 - 1'!FR3</f>
        <v>No Implementation</v>
      </c>
    </row>
    <row r="43" customFormat="false" ht="15" hidden="false" customHeight="false" outlineLevel="0" collapsed="false">
      <c r="A43" s="46" t="s">
        <v>281</v>
      </c>
      <c r="B43" s="64" t="str">
        <f aca="false">'RAW DATA Q2 - 1'!FS3</f>
        <v>DPSQ not completed yet</v>
      </c>
    </row>
    <row r="44" customFormat="false" ht="15" hidden="false" customHeight="false" outlineLevel="0" collapsed="false">
      <c r="A44" s="46" t="s">
        <v>282</v>
      </c>
      <c r="B44" s="64" t="str">
        <f aca="false">'RAW DATA Q2 - 1'!FT3</f>
        <v>No Implementation</v>
      </c>
    </row>
    <row r="45" customFormat="false" ht="15" hidden="false" customHeight="false" outlineLevel="0" collapsed="false">
      <c r="A45" s="46" t="s">
        <v>283</v>
      </c>
    </row>
    <row r="47" customFormat="false" ht="15" hidden="false" customHeight="false" outlineLevel="0" collapsed="false">
      <c r="A47" s="63" t="s">
        <v>284</v>
      </c>
    </row>
    <row r="48" customFormat="false" ht="55.2" hidden="false" customHeight="false" outlineLevel="0" collapsed="false">
      <c r="B48" s="65" t="str">
        <f aca="false">'RAW DATA Q2 - 1'!FU3</f>
        <v>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v>
      </c>
      <c r="C48" s="65"/>
      <c r="D48" s="65"/>
    </row>
  </sheetData>
  <mergeCells count="2">
    <mergeCell ref="A1:D1"/>
    <mergeCell ref="B48:D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228</v>
      </c>
    </row>
    <row r="3" customFormat="false" ht="15" hidden="false" customHeight="false" outlineLevel="0" collapsed="false">
      <c r="A3" s="50" t="s">
        <v>29</v>
      </c>
      <c r="B3" s="46" t="s">
        <v>229</v>
      </c>
    </row>
    <row r="4" customFormat="false" ht="15" hidden="false" customHeight="false" outlineLevel="0" collapsed="false">
      <c r="A4" s="50" t="s">
        <v>266</v>
      </c>
      <c r="B4" s="46" t="s">
        <v>230</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Q2 - 1'!BJ$1</f>
        <v>How would you rate the goods/services provided by the Supplier against the agreed standards1</v>
      </c>
      <c r="D7" s="54" t="n">
        <f aca="false">'RAW DATA Q2 - 1'!BJ13</f>
        <v>4</v>
      </c>
    </row>
    <row r="8" customFormat="false" ht="26.85" hidden="false" customHeight="false" outlineLevel="0" collapsed="false">
      <c r="A8" s="52" t="n">
        <v>2</v>
      </c>
      <c r="B8" s="52" t="s">
        <v>269</v>
      </c>
      <c r="C8" s="53" t="str">
        <f aca="false">'RAW DATA Q2 - 1'!BK$1</f>
        <v>How would you rate overall quality of the work reports provided by the Supplier?3</v>
      </c>
      <c r="D8" s="54" t="n">
        <f aca="false">'RAW DATA Q2 - 1'!BK13</f>
        <v>4</v>
      </c>
    </row>
    <row r="9" customFormat="false" ht="15" hidden="false" customHeight="false" outlineLevel="0" collapsed="false">
      <c r="A9" s="52" t="n">
        <v>3</v>
      </c>
      <c r="B9" s="52" t="s">
        <v>269</v>
      </c>
      <c r="C9" s="53" t="str">
        <f aca="false">'RAW DATA Q2 - 1'!BL$1</f>
        <v>How would you rate the solutions provided when there is trouble?3</v>
      </c>
      <c r="D9" s="54" t="n">
        <f aca="false">'RAW DATA Q2 - 1'!BL13</f>
        <v>4</v>
      </c>
    </row>
    <row r="10" customFormat="false" ht="15" hidden="false" customHeight="false" outlineLevel="0" collapsed="false">
      <c r="A10" s="52" t="n">
        <v>4</v>
      </c>
      <c r="B10" s="52" t="s">
        <v>269</v>
      </c>
      <c r="C10" s="53" t="str">
        <f aca="false">'RAW DATA Q2 - 1'!BM$1</f>
        <v>How would you rate the resolution to the problem that occurred?3</v>
      </c>
      <c r="D10" s="54" t="n">
        <f aca="false">'RAW DATA Q2 - 1'!BM13</f>
        <v>4</v>
      </c>
    </row>
    <row r="11" customFormat="false" ht="26.85" hidden="false" customHeight="false" outlineLevel="0" collapsed="false">
      <c r="A11" s="52" t="n">
        <v>5</v>
      </c>
      <c r="B11" s="52" t="s">
        <v>269</v>
      </c>
      <c r="C11" s="53" t="str">
        <f aca="false">'RAW DATA Q2 - 1'!BN$1</f>
        <v>How would you rate the supplier initiative to take mitigation/preventive action to prevent the problem from recurring?3</v>
      </c>
      <c r="D11" s="54" t="n">
        <f aca="false">'RAW DATA Q2 - 1'!BN13</f>
        <v>4</v>
      </c>
    </row>
    <row r="12" customFormat="false" ht="15" hidden="false" customHeight="false" outlineLevel="0" collapsed="false">
      <c r="A12" s="52" t="n">
        <v>6</v>
      </c>
      <c r="B12" s="52" t="s">
        <v>269</v>
      </c>
      <c r="C12" s="53" t="str">
        <f aca="false">'RAW DATA Q2 - 1'!BO$1</f>
        <v>How would you rate the accuracy of the data in the Supplier's reports?2</v>
      </c>
      <c r="D12" s="54" t="n">
        <f aca="false">'RAW DATA Q2 - 1'!BO13</f>
        <v>4</v>
      </c>
    </row>
    <row r="13" customFormat="false" ht="26.85" hidden="false" customHeight="false" outlineLevel="0" collapsed="false">
      <c r="A13" s="52" t="n">
        <v>7</v>
      </c>
      <c r="B13" s="52" t="s">
        <v>269</v>
      </c>
      <c r="C13" s="53" t="str">
        <f aca="false">'RAW DATA Q2 - 1'!BP$1</f>
        <v>How would you rate the overall quality of the work reports provided by the Supplier?</v>
      </c>
      <c r="D13" s="54" t="n">
        <f aca="false">'RAW DATA Q2 - 1'!BP13</f>
        <v>4</v>
      </c>
    </row>
    <row r="14" customFormat="false" ht="26.85" hidden="false" customHeight="false" outlineLevel="0" collapsed="false">
      <c r="A14" s="52" t="n">
        <v>8</v>
      </c>
      <c r="B14" s="52" t="s">
        <v>269</v>
      </c>
      <c r="C14" s="53" t="str">
        <f aca="false">'RAW DATA Q2 - 1'!BQ$1</f>
        <v>How would you rate the competence of people provided by the supplier to provide support (understand AXITS and/or DMTM software)?</v>
      </c>
      <c r="D14" s="54" t="n">
        <f aca="false">'RAW DATA Q2 - 1'!BQ13</f>
        <v>4</v>
      </c>
    </row>
    <row r="15" customFormat="false" ht="39.55" hidden="false" customHeight="false" outlineLevel="0" collapsed="false">
      <c r="A15" s="52" t="n">
        <v>9</v>
      </c>
      <c r="B15" s="52" t="s">
        <v>269</v>
      </c>
      <c r="C15" s="53" t="str">
        <f aca="false">'RAW DATA Q2 - 1'!BR$1</f>
        <v>How would you rate the supplier support in providing the form of consultation, offsite and onsite support if there is a disruption to application operations?</v>
      </c>
      <c r="D15" s="54" t="n">
        <f aca="false">'RAW DATA Q2 - 1'!BR13</f>
        <v>4</v>
      </c>
    </row>
    <row r="16" customFormat="false" ht="39.55" hidden="false" customHeight="false" outlineLevel="0" collapsed="false">
      <c r="A16" s="52" t="n">
        <v>10</v>
      </c>
      <c r="B16" s="52" t="s">
        <v>269</v>
      </c>
      <c r="C16" s="53" t="str">
        <f aca="false">'RAW DATA Q2 - 1'!BS$1</f>
        <v>How would you rate the supplier support in doing periodic checks once every 3 months to maintain application quality, including application performance checks (profiling) and error log checks?</v>
      </c>
      <c r="D16" s="54" t="n">
        <f aca="false">'RAW DATA Q2 - 1'!BS13</f>
        <v>4</v>
      </c>
    </row>
    <row r="17" customFormat="false" ht="39.55" hidden="false" customHeight="false" outlineLevel="0" collapsed="false">
      <c r="A17" s="52" t="n">
        <v>11</v>
      </c>
      <c r="B17" s="52" t="s">
        <v>269</v>
      </c>
      <c r="C17" s="53" t="str">
        <f aca="false">'RAW DATA Q2 - 1'!BT$1</f>
        <v>How would you rate the supplier support for updating versions of components, frameworks and libraries issued by third parties with prior written approval from AXA if this is possible?</v>
      </c>
      <c r="D17" s="54" t="n">
        <f aca="false">'RAW DATA Q2 - 1'!BT13</f>
        <v>4</v>
      </c>
    </row>
    <row r="18" customFormat="false" ht="15" hidden="false" customHeight="false" outlineLevel="0" collapsed="false">
      <c r="A18" s="52" t="n">
        <v>12</v>
      </c>
      <c r="B18" s="52" t="s">
        <v>269</v>
      </c>
      <c r="C18" s="53" t="str">
        <f aca="false">'RAW DATA Q2 - 1'!BU$1</f>
        <v>How would you rate the suppliers support in compliance to security?</v>
      </c>
      <c r="D18" s="54" t="n">
        <f aca="false">'RAW DATA Q2 - 1'!BU13</f>
        <v>4</v>
      </c>
    </row>
    <row r="19" customFormat="false" ht="26.85" hidden="false" customHeight="false" outlineLevel="0" collapsed="false">
      <c r="A19" s="52" t="n">
        <v>13</v>
      </c>
      <c r="B19" s="52" t="s">
        <v>269</v>
      </c>
      <c r="C19" s="53" t="str">
        <f aca="false">'RAW DATA Q2 - 1'!BV$1</f>
        <v>How would you rate the supplier initiative to take mitigation/preventive action to prevent the problem from recurring?4</v>
      </c>
      <c r="D19" s="54" t="n">
        <f aca="false">'RAW DATA Q2 - 1'!BV13</f>
        <v>4</v>
      </c>
    </row>
    <row r="20" customFormat="false" ht="26.85" hidden="false" customHeight="false" outlineLevel="0" collapsed="false">
      <c r="A20" s="52" t="n">
        <v>14</v>
      </c>
      <c r="B20" s="52" t="s">
        <v>269</v>
      </c>
      <c r="C20" s="53" t="str">
        <f aca="false">'RAW DATA Q2 - 1'!BW$1</f>
        <v>How would you rate supplier compliance with administrative processes, including completion of draft cooperation contract?4</v>
      </c>
      <c r="D20" s="54" t="n">
        <f aca="false">'RAW DATA Q2 - 1'!BW13</f>
        <v>4</v>
      </c>
    </row>
    <row r="21" customFormat="false" ht="26.85" hidden="false" customHeight="false" outlineLevel="0" collapsed="false">
      <c r="A21" s="55" t="n">
        <v>15</v>
      </c>
      <c r="B21" s="55" t="s">
        <v>270</v>
      </c>
      <c r="C21" s="56" t="str">
        <f aca="false">'RAW DATA Q2 - 1'!FF$1</f>
        <v>How would you rate the Supplier's timeliness in delivering goods/services compared to the agreed-upon timeline?3</v>
      </c>
      <c r="D21" s="57" t="n">
        <f aca="false">'RAW DATA Q2 - 1'!FF13</f>
        <v>4</v>
      </c>
    </row>
    <row r="22" customFormat="false" ht="39.55" hidden="false" customHeight="false" outlineLevel="0" collapsed="false">
      <c r="A22" s="55" t="n">
        <v>16</v>
      </c>
      <c r="B22" s="55" t="s">
        <v>270</v>
      </c>
      <c r="C22" s="56" t="str">
        <f aca="false">'RAW DATA Q2 - 1'!FG$1</f>
        <v>How would you rate the supplier's timeliness in sending reports to you? Based on SLA, support reports should be sent every 3 months on the 10th</v>
      </c>
      <c r="D22" s="57" t="n">
        <f aca="false">'RAW DATA Q2 - 1'!FG13</f>
        <v>4</v>
      </c>
    </row>
    <row r="23" customFormat="false" ht="26.85" hidden="false" customHeight="false" outlineLevel="0" collapsed="false">
      <c r="A23" s="55" t="n">
        <v>17</v>
      </c>
      <c r="B23" s="55" t="s">
        <v>270</v>
      </c>
      <c r="C23" s="56" t="str">
        <f aca="false">'RAW DATA Q2 - 1'!FH$1</f>
        <v>How would you rate the supplier's speed ​​of administrative completion, including completion of contracts draft?1</v>
      </c>
      <c r="D23" s="57" t="n">
        <f aca="false">'RAW DATA Q2 - 1'!FH13</f>
        <v>4</v>
      </c>
    </row>
    <row r="24" customFormat="false" ht="15" hidden="false" customHeight="false" outlineLevel="0" collapsed="false">
      <c r="A24" s="55" t="n">
        <v>18</v>
      </c>
      <c r="B24" s="55" t="s">
        <v>270</v>
      </c>
      <c r="C24" s="56" t="str">
        <f aca="false">'RAW DATA Q2 - 1'!FI$1</f>
        <v>How would you rate the supplier's resolution time?</v>
      </c>
      <c r="D24" s="57" t="n">
        <f aca="false">'RAW DATA Q2 - 1'!FI13</f>
        <v>4</v>
      </c>
    </row>
    <row r="25" customFormat="false" ht="15" hidden="false" customHeight="false" outlineLevel="0" collapsed="false">
      <c r="A25" s="58" t="n">
        <v>19</v>
      </c>
      <c r="B25" s="58" t="s">
        <v>271</v>
      </c>
      <c r="C25" s="59" t="str">
        <f aca="false">'RAW DATA Q2 - 1'!FM$1</f>
        <v>How would you rate the supplier's communication with you?</v>
      </c>
      <c r="D25" s="60" t="n">
        <f aca="false">'RAW DATA Q2 - 1'!FM13</f>
        <v>5</v>
      </c>
    </row>
    <row r="26" customFormat="false" ht="26.85" hidden="false" customHeight="false" outlineLevel="0" collapsed="false">
      <c r="A26" s="58" t="n">
        <v>20</v>
      </c>
      <c r="B26" s="58" t="s">
        <v>271</v>
      </c>
      <c r="C26" s="59" t="str">
        <f aca="false">'RAW DATA Q2 - 1'!FN$1</f>
        <v>How would you rate the supplier's PIC's availability to be contacted when needed?</v>
      </c>
      <c r="D26" s="60" t="n">
        <f aca="false">'RAW DATA Q2 - 1'!FN13</f>
        <v>5</v>
      </c>
    </row>
    <row r="27" customFormat="false" ht="39.55" hidden="false" customHeight="false" outlineLevel="0" collapsed="false">
      <c r="A27" s="58" t="n">
        <v>21</v>
      </c>
      <c r="B27" s="58" t="s">
        <v>271</v>
      </c>
      <c r="C27" s="59" t="str">
        <f aca="false">'RAW DATA Q2 - 1'!FO$1</f>
        <v>How would you rate the supplier's response speed to you when there are issues?
</v>
      </c>
      <c r="D27" s="60" t="n">
        <f aca="false">'RAW DATA Q2 - 1'!FO13</f>
        <v>5</v>
      </c>
    </row>
    <row r="29" customFormat="false" ht="15" hidden="false" customHeight="false" outlineLevel="0" collapsed="false">
      <c r="A29" s="50" t="s">
        <v>272</v>
      </c>
      <c r="B29" s="61" t="n">
        <f aca="false">AVERAGEIF(B7:B27,"Quality",D7:D27)</f>
        <v>4</v>
      </c>
    </row>
    <row r="30" customFormat="false" ht="15" hidden="false" customHeight="false" outlineLevel="0" collapsed="false">
      <c r="A30" s="50" t="s">
        <v>273</v>
      </c>
      <c r="B30" s="61" t="n">
        <f aca="false">AVERAGEIF(B7:B27,"Timeline",D7:D27)</f>
        <v>4</v>
      </c>
    </row>
    <row r="31" customFormat="false" ht="15" hidden="false" customHeight="false" outlineLevel="0" collapsed="false">
      <c r="A31" s="50" t="s">
        <v>274</v>
      </c>
      <c r="B31" s="61" t="n">
        <f aca="false">AVERAGEIF(B7:B27,"Relationship",D7:D27)</f>
        <v>5</v>
      </c>
    </row>
    <row r="32" customFormat="false" ht="15" hidden="false" customHeight="false" outlineLevel="0" collapsed="false">
      <c r="A32" s="50" t="s">
        <v>275</v>
      </c>
      <c r="B32" s="62" t="n">
        <f aca="false">B29*0.35+B30*0.35+B31*0.3</f>
        <v>4.3</v>
      </c>
    </row>
    <row r="33" customFormat="false" ht="15" hidden="false" customHeight="false" outlineLevel="0" collapsed="false">
      <c r="A33" s="50" t="s">
        <v>276</v>
      </c>
      <c r="B33" s="50" t="str">
        <f aca="false">IF(B32&gt;4.99,"Exceptional",IF(B32&gt;3.99,"Exceed Expectation",IF(B32&gt;=2.99,"Meet Expectation",IF(B32&gt;1.9,"Below Expectation","Unsatisfactory"))))</f>
        <v>Exceed Expectation</v>
      </c>
    </row>
    <row r="35" customFormat="false" ht="15" hidden="false" customHeight="false" outlineLevel="0" collapsed="false">
      <c r="A35" s="63" t="s">
        <v>277</v>
      </c>
    </row>
    <row r="36" customFormat="false" ht="15" hidden="false" customHeight="false" outlineLevel="0" collapsed="false">
      <c r="A36" s="46" t="s">
        <v>278</v>
      </c>
      <c r="B36" s="64" t="str">
        <f aca="false">'RAW DATA Q2 - 1'!FP13</f>
        <v>Yes</v>
      </c>
    </row>
    <row r="37" customFormat="false" ht="15" hidden="false" customHeight="false" outlineLevel="0" collapsed="false">
      <c r="A37" s="46" t="s">
        <v>279</v>
      </c>
      <c r="B37" s="64" t="str">
        <f aca="false">'RAW DATA Q2 - 1'!FQ13</f>
        <v>Yes</v>
      </c>
    </row>
    <row r="38" customFormat="false" ht="41.75" hidden="false" customHeight="false" outlineLevel="0" collapsed="false">
      <c r="A38" s="46" t="s">
        <v>280</v>
      </c>
      <c r="B38" s="64" t="str">
        <f aca="false">'RAW DATA Q2 - 1'!FR13</f>
        <v>Yes, DPIA completed and there are actions to be done by Project Owner</v>
      </c>
    </row>
    <row r="39" customFormat="false" ht="15" hidden="false" customHeight="false" outlineLevel="0" collapsed="false">
      <c r="A39" s="46" t="s">
        <v>281</v>
      </c>
      <c r="B39" s="64" t="str">
        <f aca="false">'RAW DATA Q2 - 1'!FS13</f>
        <v>No Implementation</v>
      </c>
    </row>
    <row r="40" customFormat="false" ht="41.75" hidden="false" customHeight="false" outlineLevel="0" collapsed="false">
      <c r="A40" s="46" t="s">
        <v>282</v>
      </c>
      <c r="B40" s="64" t="str">
        <f aca="false">'RAW DATA Q2 - 1'!FT13</f>
        <v>Yes, VSDDT completed and there are actions to be done by supplier</v>
      </c>
    </row>
    <row r="41" customFormat="false" ht="15" hidden="false" customHeight="false" outlineLevel="0" collapsed="false">
      <c r="A41" s="46" t="s">
        <v>283</v>
      </c>
    </row>
    <row r="43" customFormat="false" ht="15" hidden="false" customHeight="false" outlineLevel="0" collapsed="false">
      <c r="A43" s="63" t="s">
        <v>284</v>
      </c>
    </row>
    <row r="44" customFormat="false" ht="15" hidden="false" customHeight="false" outlineLevel="0" collapsed="false">
      <c r="B44" s="65" t="str">
        <f aca="false">'RAW DATA Q2 - 1'!FU13</f>
        <v>Ciptadra selalu fast response ketika ada incident yang terjadi di DMTM</v>
      </c>
      <c r="C44" s="65"/>
      <c r="D44" s="65"/>
    </row>
  </sheetData>
  <mergeCells count="2">
    <mergeCell ref="A1:D1"/>
    <mergeCell ref="B44:D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231</v>
      </c>
    </row>
    <row r="3" customFormat="false" ht="15" hidden="false" customHeight="false" outlineLevel="0" collapsed="false">
      <c r="A3" s="50" t="s">
        <v>29</v>
      </c>
      <c r="B3" s="46" t="s">
        <v>232</v>
      </c>
    </row>
    <row r="4" customFormat="false" ht="15" hidden="false" customHeight="false" outlineLevel="0" collapsed="false">
      <c r="A4" s="50" t="s">
        <v>266</v>
      </c>
      <c r="B4" s="46" t="s">
        <v>233</v>
      </c>
    </row>
    <row r="6" customFormat="false" ht="15" hidden="false" customHeight="false" outlineLevel="0" collapsed="false">
      <c r="A6" s="51" t="s">
        <v>52</v>
      </c>
      <c r="B6" s="51" t="s">
        <v>267</v>
      </c>
      <c r="C6" s="51" t="s">
        <v>268</v>
      </c>
      <c r="D6" s="51" t="s">
        <v>37</v>
      </c>
    </row>
    <row r="7" customFormat="false" ht="15" hidden="false" customHeight="false" outlineLevel="0" collapsed="false">
      <c r="A7" s="52" t="n">
        <v>1</v>
      </c>
      <c r="B7" s="52" t="s">
        <v>269</v>
      </c>
      <c r="C7" s="53" t="str">
        <f aca="false">'RAW DATA Q2 - 1'!EF$1</f>
        <v>How would you rate the service provided?1</v>
      </c>
      <c r="D7" s="54" t="n">
        <f aca="false">'RAW DATA Q2 - 1'!EF4</f>
        <v>3</v>
      </c>
    </row>
    <row r="8" customFormat="false" ht="15" hidden="false" customHeight="false" outlineLevel="0" collapsed="false">
      <c r="A8" s="52" t="n">
        <v>2</v>
      </c>
      <c r="B8" s="52" t="s">
        <v>269</v>
      </c>
      <c r="C8" s="53" t="str">
        <f aca="false">'RAW DATA Q2 - 1'!EG$1</f>
        <v>How would you rate the accuracy of the data in the Supplier's reports?7</v>
      </c>
      <c r="D8" s="54" t="n">
        <f aca="false">'RAW DATA Q2 - 1'!EG4</f>
        <v>3</v>
      </c>
    </row>
    <row r="9" customFormat="false" ht="26.85" hidden="false" customHeight="false" outlineLevel="0" collapsed="false">
      <c r="A9" s="52" t="n">
        <v>3</v>
      </c>
      <c r="B9" s="52" t="s">
        <v>269</v>
      </c>
      <c r="C9" s="53" t="str">
        <f aca="false">'RAW DATA Q2 - 1'!EH$1</f>
        <v>How would you rate overall quality of the work reports provided by the Supplier?7</v>
      </c>
      <c r="D9" s="54" t="n">
        <f aca="false">'RAW DATA Q2 - 1'!EH4</f>
        <v>3</v>
      </c>
    </row>
    <row r="10" customFormat="false" ht="15" hidden="false" customHeight="false" outlineLevel="0" collapsed="false">
      <c r="A10" s="52" t="n">
        <v>4</v>
      </c>
      <c r="B10" s="52" t="s">
        <v>269</v>
      </c>
      <c r="C10" s="53" t="str">
        <f aca="false">'RAW DATA Q2 - 1'!EI$1</f>
        <v>How would you rate the resolution to the problem that occurred?7</v>
      </c>
      <c r="D10" s="54" t="n">
        <f aca="false">'RAW DATA Q2 - 1'!EI4</f>
        <v>3</v>
      </c>
    </row>
    <row r="11" customFormat="false" ht="26.85" hidden="false" customHeight="false" outlineLevel="0" collapsed="false">
      <c r="A11" s="52" t="n">
        <v>5</v>
      </c>
      <c r="B11" s="52" t="s">
        <v>269</v>
      </c>
      <c r="C11" s="53" t="str">
        <f aca="false">'RAW DATA Q2 - 1'!EJ$1</f>
        <v>How would you rate the supplier initiative to take mitigation/preventive action to prevent the problem from recurring?8</v>
      </c>
      <c r="D11" s="54" t="n">
        <f aca="false">'RAW DATA Q2 - 1'!EJ4</f>
        <v>2</v>
      </c>
    </row>
    <row r="12" customFormat="false" ht="26.85" hidden="false" customHeight="false" outlineLevel="0" collapsed="false">
      <c r="A12" s="52" t="n">
        <v>6</v>
      </c>
      <c r="B12" s="52" t="s">
        <v>269</v>
      </c>
      <c r="C12" s="53" t="str">
        <f aca="false">'RAW DATA Q2 - 1'!EK$1</f>
        <v>How would you rate supplier compliance with administrative processes, including completion of draft cooperation contract?7</v>
      </c>
      <c r="D12" s="54" t="n">
        <f aca="false">'RAW DATA Q2 - 1'!EK4</f>
        <v>3</v>
      </c>
    </row>
    <row r="13" customFormat="false" ht="26.85" hidden="false" customHeight="false" outlineLevel="0" collapsed="false">
      <c r="A13" s="55" t="n">
        <v>7</v>
      </c>
      <c r="B13" s="55" t="s">
        <v>270</v>
      </c>
      <c r="C13" s="56" t="str">
        <f aca="false">'RAW DATA Q2 - 1'!EU$1</f>
        <v>How would you rate the supplier's timeliness in delivering goods/services compared to the agreed-upon timeline?</v>
      </c>
      <c r="D13" s="57" t="n">
        <f aca="false">'RAW DATA Q2 - 1'!EU4</f>
        <v>3</v>
      </c>
    </row>
    <row r="14" customFormat="false" ht="15" hidden="false" customHeight="false" outlineLevel="0" collapsed="false">
      <c r="A14" s="55" t="n">
        <v>8</v>
      </c>
      <c r="B14" s="55" t="s">
        <v>270</v>
      </c>
      <c r="C14" s="56" t="str">
        <f aca="false">'RAW DATA Q2 - 1'!EV$1</f>
        <v>How would you rate the supplier's timeliness in sending reports to you?</v>
      </c>
      <c r="D14" s="57" t="n">
        <f aca="false">'RAW DATA Q2 - 1'!EV4</f>
        <v>3</v>
      </c>
    </row>
    <row r="15" customFormat="false" ht="26.85" hidden="false" customHeight="false" outlineLevel="0" collapsed="false">
      <c r="A15" s="55" t="n">
        <v>9</v>
      </c>
      <c r="B15" s="55" t="s">
        <v>270</v>
      </c>
      <c r="C15" s="56" t="str">
        <f aca="false">'RAW DATA Q2 - 1'!EW$1</f>
        <v>How would you rate the supplier's speed ​​of administrative completion, including completion of contracts draft?</v>
      </c>
      <c r="D15" s="57" t="n">
        <f aca="false">'RAW DATA Q2 - 1'!EW4</f>
        <v>3</v>
      </c>
    </row>
    <row r="16" customFormat="false" ht="15" hidden="false" customHeight="false" outlineLevel="0" collapsed="false">
      <c r="A16" s="58" t="n">
        <v>10</v>
      </c>
      <c r="B16" s="58" t="s">
        <v>271</v>
      </c>
      <c r="C16" s="59" t="str">
        <f aca="false">'RAW DATA Q2 - 1'!FM$1</f>
        <v>How would you rate the supplier's communication with you?</v>
      </c>
      <c r="D16" s="60" t="n">
        <f aca="false">'RAW DATA Q2 - 1'!FM4</f>
        <v>3</v>
      </c>
    </row>
    <row r="17" customFormat="false" ht="26.85" hidden="false" customHeight="false" outlineLevel="0" collapsed="false">
      <c r="A17" s="58" t="n">
        <v>11</v>
      </c>
      <c r="B17" s="58" t="s">
        <v>271</v>
      </c>
      <c r="C17" s="59" t="str">
        <f aca="false">'RAW DATA Q2 - 1'!FN$1</f>
        <v>How would you rate the supplier's PIC's availability to be contacted when needed?</v>
      </c>
      <c r="D17" s="60" t="n">
        <f aca="false">'RAW DATA Q2 - 1'!FN4</f>
        <v>3</v>
      </c>
    </row>
    <row r="18" customFormat="false" ht="39.55" hidden="false" customHeight="false" outlineLevel="0" collapsed="false">
      <c r="A18" s="58" t="n">
        <v>12</v>
      </c>
      <c r="B18" s="58" t="s">
        <v>271</v>
      </c>
      <c r="C18" s="59" t="str">
        <f aca="false">'RAW DATA Q2 - 1'!FO$1</f>
        <v>How would you rate the supplier's response speed to you when there are issues?
</v>
      </c>
      <c r="D18" s="60" t="n">
        <f aca="false">'RAW DATA Q2 - 1'!FO4</f>
        <v>3</v>
      </c>
    </row>
    <row r="20" customFormat="false" ht="15" hidden="false" customHeight="false" outlineLevel="0" collapsed="false">
      <c r="A20" s="50" t="s">
        <v>272</v>
      </c>
      <c r="B20" s="61" t="n">
        <f aca="false">AVERAGEIF(B7:B18,"Quality",D7:D18)</f>
        <v>2.83333333333333</v>
      </c>
    </row>
    <row r="21" customFormat="false" ht="15" hidden="false" customHeight="false" outlineLevel="0" collapsed="false">
      <c r="A21" s="50" t="s">
        <v>273</v>
      </c>
      <c r="B21" s="61" t="n">
        <f aca="false">AVERAGEIF(B7:B18,"Timeline",D7:D18)</f>
        <v>3</v>
      </c>
    </row>
    <row r="22" customFormat="false" ht="15" hidden="false" customHeight="false" outlineLevel="0" collapsed="false">
      <c r="A22" s="50" t="s">
        <v>274</v>
      </c>
      <c r="B22" s="61" t="n">
        <f aca="false">AVERAGEIF(B7:B18,"Relationship",D7:D18)</f>
        <v>3</v>
      </c>
    </row>
    <row r="23" customFormat="false" ht="15" hidden="false" customHeight="false" outlineLevel="0" collapsed="false">
      <c r="A23" s="50" t="s">
        <v>275</v>
      </c>
      <c r="B23" s="62" t="n">
        <f aca="false">B20*0.35+B21*0.35+B22*0.3</f>
        <v>2.94166666666667</v>
      </c>
    </row>
    <row r="24" customFormat="false" ht="15" hidden="false" customHeight="false" outlineLevel="0" collapsed="false">
      <c r="A24" s="50" t="s">
        <v>276</v>
      </c>
      <c r="B24" s="50" t="str">
        <f aca="false">IF(B23&gt;4.99,"Exceptional",IF(B23&gt;3.99,"Exceed Expectation",IF(B23&gt;=2.99,"Meet Expectation",IF(B23&gt;1.9,"Below Expectation","Unsatisfactory"))))</f>
        <v>Below Expectation</v>
      </c>
    </row>
    <row r="26" customFormat="false" ht="15" hidden="false" customHeight="false" outlineLevel="0" collapsed="false">
      <c r="A26" s="63" t="s">
        <v>277</v>
      </c>
    </row>
    <row r="27" customFormat="false" ht="15" hidden="false" customHeight="false" outlineLevel="0" collapsed="false">
      <c r="A27" s="46" t="s">
        <v>278</v>
      </c>
      <c r="B27" s="64" t="str">
        <f aca="false">'RAW DATA Q2 - 1'!FP4</f>
        <v>Yes</v>
      </c>
    </row>
    <row r="28" customFormat="false" ht="15" hidden="false" customHeight="false" outlineLevel="0" collapsed="false">
      <c r="A28" s="46" t="s">
        <v>279</v>
      </c>
      <c r="B28" s="64" t="str">
        <f aca="false">'RAW DATA Q2 - 1'!FQ4</f>
        <v>Yes</v>
      </c>
    </row>
    <row r="29" customFormat="false" ht="41.75" hidden="false" customHeight="false" outlineLevel="0" collapsed="false">
      <c r="A29" s="46" t="s">
        <v>280</v>
      </c>
      <c r="B29" s="64" t="str">
        <f aca="false">'RAW DATA Q2 - 1'!FR4</f>
        <v>Yes, DPIA completed and there are actions to be done by Project Owner</v>
      </c>
    </row>
    <row r="30" customFormat="false" ht="15" hidden="false" customHeight="false" outlineLevel="0" collapsed="false">
      <c r="A30" s="46" t="s">
        <v>281</v>
      </c>
      <c r="B30" s="64" t="str">
        <f aca="false">'RAW DATA Q2 - 1'!FS4</f>
        <v>No Implementation</v>
      </c>
    </row>
    <row r="31" customFormat="false" ht="41.75" hidden="false" customHeight="false" outlineLevel="0" collapsed="false">
      <c r="A31" s="46" t="s">
        <v>282</v>
      </c>
      <c r="B31" s="64" t="str">
        <f aca="false">'RAW DATA Q2 - 1'!FT4</f>
        <v>Yes, VSDDT completed and there are actions to be done by supplier</v>
      </c>
    </row>
    <row r="32" customFormat="false" ht="15" hidden="false" customHeight="false" outlineLevel="0" collapsed="false">
      <c r="A32" s="46" t="s">
        <v>283</v>
      </c>
    </row>
    <row r="34" customFormat="false" ht="15" hidden="false" customHeight="false" outlineLevel="0" collapsed="false">
      <c r="A34" s="63" t="s">
        <v>284</v>
      </c>
    </row>
    <row r="35" customFormat="false" ht="68.65" hidden="false" customHeight="false" outlineLevel="0" collapsed="false">
      <c r="B35" s="65" t="str">
        <f aca="false">'RAW DATA Q2 - 1'!FU4</f>
        <v>Secara keseluruhan, MTarget telah memberikan dukungan yang baik dalam operasional email campaign dan responsif dalam menangani kebutuhan maupun isu yang muncul. Namun, insiden kesalahan pengiriman email yang terjadi menunjukkan perlunya penguatan pada proses deployment, pengujian, serta validasi sebelum implementasi ke production. Ke depannya, kami berharap MTarget dapat memperkuat proses change management, quality assurance, dan kontrol terhadap segmentasi serta pengiriman email untuk meminimalkan risiko terjadinya insiden serupa.</v>
      </c>
      <c r="C35" s="65"/>
      <c r="D35" s="65"/>
    </row>
  </sheetData>
  <mergeCells count="2">
    <mergeCell ref="A1:D1"/>
    <mergeCell ref="B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234</v>
      </c>
    </row>
    <row r="3" customFormat="false" ht="15" hidden="false" customHeight="false" outlineLevel="0" collapsed="false">
      <c r="A3" s="50" t="s">
        <v>29</v>
      </c>
      <c r="B3" s="46" t="s">
        <v>235</v>
      </c>
    </row>
    <row r="4" customFormat="false" ht="15" hidden="false" customHeight="false" outlineLevel="0" collapsed="false">
      <c r="A4" s="50" t="s">
        <v>266</v>
      </c>
      <c r="B4" s="46" t="s">
        <v>236</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Q2 - 1'!BX$1</f>
        <v>How would you rate the goods/services provided by the Supplier against the agreed standards2</v>
      </c>
      <c r="D7" s="54" t="n">
        <f aca="false">'RAW DATA Q2 - 1'!BX2</f>
        <v>4</v>
      </c>
    </row>
    <row r="8" customFormat="false" ht="26.85" hidden="false" customHeight="false" outlineLevel="0" collapsed="false">
      <c r="A8" s="52" t="n">
        <v>2</v>
      </c>
      <c r="B8" s="52" t="s">
        <v>269</v>
      </c>
      <c r="C8" s="53" t="str">
        <f aca="false">'RAW DATA Q2 - 1'!BY$1</f>
        <v>How would you rate the Customer Interaction Requirement which includes:</v>
      </c>
      <c r="D8" s="54" t="n">
        <f aca="false">'RAW DATA Q2 - 1'!BY2</f>
        <v>4</v>
      </c>
    </row>
    <row r="9" customFormat="false" ht="15" hidden="false" customHeight="false" outlineLevel="0" collapsed="false">
      <c r="A9" s="52" t="n">
        <v>3</v>
      </c>
      <c r="B9" s="52" t="s">
        <v>269</v>
      </c>
      <c r="C9" s="53" t="str">
        <f aca="false">'RAW DATA Q2 - 1'!BZ$1</f>
        <v>How would you rate the Case Management which includes:</v>
      </c>
      <c r="D9" s="54" t="n">
        <f aca="false">'RAW DATA Q2 - 1'!BZ2</f>
        <v>4</v>
      </c>
    </row>
    <row r="10" customFormat="false" ht="15" hidden="false" customHeight="false" outlineLevel="0" collapsed="false">
      <c r="A10" s="52" t="n">
        <v>4</v>
      </c>
      <c r="B10" s="52" t="s">
        <v>269</v>
      </c>
      <c r="C10" s="53" t="str">
        <f aca="false">'RAW DATA Q2 - 1'!CA$1</f>
        <v>How would you rate the Integration process which includes:</v>
      </c>
      <c r="D10" s="54" t="n">
        <f aca="false">'RAW DATA Q2 - 1'!CA2</f>
        <v>4</v>
      </c>
    </row>
    <row r="11" customFormat="false" ht="15" hidden="false" customHeight="false" outlineLevel="0" collapsed="false">
      <c r="A11" s="52" t="n">
        <v>5</v>
      </c>
      <c r="B11" s="52" t="s">
        <v>269</v>
      </c>
      <c r="C11" s="53" t="str">
        <f aca="false">'RAW DATA Q2 - 1'!CB$1</f>
        <v>How would you rate the Architectural Requirement?</v>
      </c>
      <c r="D11" s="54" t="n">
        <f aca="false">'RAW DATA Q2 - 1'!CB2</f>
        <v>4</v>
      </c>
    </row>
    <row r="12" customFormat="false" ht="15" hidden="false" customHeight="false" outlineLevel="0" collapsed="false">
      <c r="A12" s="52" t="n">
        <v>6</v>
      </c>
      <c r="B12" s="52" t="s">
        <v>269</v>
      </c>
      <c r="C12" s="53" t="str">
        <f aca="false">'RAW DATA Q2 - 1'!CC$1</f>
        <v>How would you rate the Security Requirement?</v>
      </c>
      <c r="D12" s="54" t="n">
        <f aca="false">'RAW DATA Q2 - 1'!CC2</f>
        <v>4</v>
      </c>
    </row>
    <row r="13" customFormat="false" ht="26.85" hidden="false" customHeight="false" outlineLevel="0" collapsed="false">
      <c r="A13" s="52" t="n">
        <v>7</v>
      </c>
      <c r="B13" s="52" t="s">
        <v>269</v>
      </c>
      <c r="C13" s="53" t="str">
        <f aca="false">'RAW DATA Q2 - 1'!CD$1</f>
        <v>How would you rate the Backup and Restore, Capacity and Performance Requirements?</v>
      </c>
      <c r="D13" s="54" t="n">
        <f aca="false">'RAW DATA Q2 - 1'!CD2</f>
        <v>4</v>
      </c>
    </row>
    <row r="14" customFormat="false" ht="15" hidden="false" customHeight="false" outlineLevel="0" collapsed="false">
      <c r="A14" s="52" t="n">
        <v>8</v>
      </c>
      <c r="B14" s="52" t="s">
        <v>269</v>
      </c>
      <c r="C14" s="53" t="str">
        <f aca="false">'RAW DATA Q2 - 1'!CE$1</f>
        <v>How would you rate the Operational and Configuration Management?</v>
      </c>
      <c r="D14" s="54" t="n">
        <f aca="false">'RAW DATA Q2 - 1'!CE2</f>
        <v>4</v>
      </c>
    </row>
    <row r="15" customFormat="false" ht="15" hidden="false" customHeight="false" outlineLevel="0" collapsed="false">
      <c r="A15" s="52" t="n">
        <v>9</v>
      </c>
      <c r="B15" s="52" t="s">
        <v>269</v>
      </c>
      <c r="C15" s="53" t="str">
        <f aca="false">'RAW DATA Q2 - 1'!CF$1</f>
        <v>How would you rate the accuracy of the data in the Supplier's reports?3</v>
      </c>
      <c r="D15" s="54" t="n">
        <f aca="false">'RAW DATA Q2 - 1'!CF2</f>
        <v>4</v>
      </c>
    </row>
    <row r="16" customFormat="false" ht="26.85" hidden="false" customHeight="false" outlineLevel="0" collapsed="false">
      <c r="A16" s="52" t="n">
        <v>10</v>
      </c>
      <c r="B16" s="52" t="s">
        <v>269</v>
      </c>
      <c r="C16" s="53" t="str">
        <f aca="false">'RAW DATA Q2 - 1'!CG$1</f>
        <v>How would you rate overall quality of the work reports provided by the Supplier?4</v>
      </c>
      <c r="D16" s="54" t="n">
        <f aca="false">'RAW DATA Q2 - 1'!CG2</f>
        <v>4</v>
      </c>
    </row>
    <row r="17" customFormat="false" ht="15" hidden="false" customHeight="false" outlineLevel="0" collapsed="false">
      <c r="A17" s="52" t="n">
        <v>11</v>
      </c>
      <c r="B17" s="52" t="s">
        <v>269</v>
      </c>
      <c r="C17" s="53" t="str">
        <f aca="false">'RAW DATA Q2 - 1'!CH$1</f>
        <v>How would you rate the solutions provided when there is trouble?4</v>
      </c>
      <c r="D17" s="54" t="n">
        <f aca="false">'RAW DATA Q2 - 1'!CH2</f>
        <v>4</v>
      </c>
    </row>
    <row r="18" customFormat="false" ht="15" hidden="false" customHeight="false" outlineLevel="0" collapsed="false">
      <c r="A18" s="52" t="n">
        <v>12</v>
      </c>
      <c r="B18" s="52" t="s">
        <v>269</v>
      </c>
      <c r="C18" s="53" t="str">
        <f aca="false">'RAW DATA Q2 - 1'!CI$1</f>
        <v>How would you rate the resolution to the problem that occurred?4</v>
      </c>
      <c r="D18" s="54" t="n">
        <f aca="false">'RAW DATA Q2 - 1'!CI2</f>
        <v>4</v>
      </c>
    </row>
    <row r="19" customFormat="false" ht="26.85" hidden="false" customHeight="false" outlineLevel="0" collapsed="false">
      <c r="A19" s="52" t="n">
        <v>13</v>
      </c>
      <c r="B19" s="52" t="s">
        <v>269</v>
      </c>
      <c r="C19" s="53" t="str">
        <f aca="false">'RAW DATA Q2 - 1'!CJ$1</f>
        <v>How would you rate the speed of resolution given to problems that occur?3</v>
      </c>
      <c r="D19" s="54" t="n">
        <f aca="false">'RAW DATA Q2 - 1'!CJ2</f>
        <v>4</v>
      </c>
    </row>
    <row r="20" customFormat="false" ht="26.85" hidden="false" customHeight="false" outlineLevel="0" collapsed="false">
      <c r="A20" s="52" t="n">
        <v>14</v>
      </c>
      <c r="B20" s="52" t="s">
        <v>269</v>
      </c>
      <c r="C20" s="53" t="str">
        <f aca="false">'RAW DATA Q2 - 1'!CK$1</f>
        <v>How would you rate the supplier initiative to take mitigation/preventive action to prevent the problem from recurring?5</v>
      </c>
      <c r="D20" s="54" t="n">
        <f aca="false">'RAW DATA Q2 - 1'!CK2</f>
        <v>4</v>
      </c>
    </row>
    <row r="21" customFormat="false" ht="26.85" hidden="false" customHeight="false" outlineLevel="0" collapsed="false">
      <c r="A21" s="52" t="n">
        <v>15</v>
      </c>
      <c r="B21" s="52" t="s">
        <v>269</v>
      </c>
      <c r="C21" s="53" t="str">
        <f aca="false">'RAW DATA Q2 - 1'!CL$1</f>
        <v>How would you rate supplier compliance with administrative processes, including completion of draft cooperation contract?5</v>
      </c>
      <c r="D21" s="54" t="n">
        <f aca="false">'RAW DATA Q2 - 1'!CL2</f>
        <v>4</v>
      </c>
    </row>
    <row r="22" customFormat="false" ht="15" hidden="false" customHeight="false" outlineLevel="0" collapsed="false">
      <c r="A22" s="52" t="n">
        <v>16</v>
      </c>
      <c r="B22" s="52" t="s">
        <v>269</v>
      </c>
      <c r="C22" s="53" t="str">
        <f aca="false">'RAW DATA Q2 - 1'!CM$1</f>
        <v>How would you rate the accuracy of the data in the Supplier's reports?4</v>
      </c>
      <c r="D22" s="54" t="n">
        <f aca="false">'RAW DATA Q2 - 1'!CM2</f>
        <v>4</v>
      </c>
    </row>
    <row r="23" customFormat="false" ht="26.85" hidden="false" customHeight="false" outlineLevel="0" collapsed="false">
      <c r="A23" s="52" t="n">
        <v>17</v>
      </c>
      <c r="B23" s="52" t="s">
        <v>269</v>
      </c>
      <c r="C23" s="53" t="str">
        <f aca="false">'RAW DATA Q2 - 1'!CN$1</f>
        <v>How would you rate the overall quality of the work reports provided by the Supplier?1</v>
      </c>
      <c r="D23" s="54" t="n">
        <f aca="false">'RAW DATA Q2 - 1'!CN2</f>
        <v>4</v>
      </c>
    </row>
    <row r="24" customFormat="false" ht="26.85" hidden="false" customHeight="false" outlineLevel="0" collapsed="false">
      <c r="A24" s="52" t="n">
        <v>18</v>
      </c>
      <c r="B24" s="52" t="s">
        <v>269</v>
      </c>
      <c r="C24" s="53" t="str">
        <f aca="false">'RAW DATA Q2 - 1'!CO$1</f>
        <v>How would you rate the performing installation, setup and configuration of 3Dolphins?</v>
      </c>
      <c r="D24" s="54" t="n">
        <f aca="false">'RAW DATA Q2 - 1'!CO2</f>
        <v>4</v>
      </c>
    </row>
    <row r="25" customFormat="false" ht="15" hidden="false" customHeight="false" outlineLevel="0" collapsed="false">
      <c r="A25" s="52" t="n">
        <v>19</v>
      </c>
      <c r="B25" s="52" t="s">
        <v>269</v>
      </c>
      <c r="C25" s="53" t="str">
        <f aca="false">'RAW DATA Q2 - 1'!CP$1</f>
        <v>How would you rate the integration of 3Dolphins with SalesForce?</v>
      </c>
      <c r="D25" s="54" t="n">
        <f aca="false">'RAW DATA Q2 - 1'!CP2</f>
        <v>4</v>
      </c>
    </row>
    <row r="26" customFormat="false" ht="15" hidden="false" customHeight="false" outlineLevel="0" collapsed="false">
      <c r="A26" s="52" t="n">
        <v>20</v>
      </c>
      <c r="B26" s="52" t="s">
        <v>269</v>
      </c>
      <c r="C26" s="53" t="str">
        <f aca="false">'RAW DATA Q2 - 1'!CQ$1</f>
        <v>How would you rate the Chatbot Corpus with data provided by AXA?</v>
      </c>
      <c r="D26" s="54" t="n">
        <f aca="false">'RAW DATA Q2 - 1'!CQ2</f>
        <v>4</v>
      </c>
    </row>
    <row r="27" customFormat="false" ht="39.55" hidden="false" customHeight="false" outlineLevel="0" collapsed="false">
      <c r="A27" s="52" t="n">
        <v>21</v>
      </c>
      <c r="B27" s="52" t="s">
        <v>269</v>
      </c>
      <c r="C27" s="53" t="str">
        <f aca="false">'RAW DATA Q2 - 1'!CR$1</f>
        <v>How would you rate the supplier's services in providing 3Dolphins Solutions as stated in the Functional Specification Document (FSD) and Technical Specification Document (TSD)?</v>
      </c>
      <c r="D27" s="54" t="n">
        <f aca="false">'RAW DATA Q2 - 1'!CR2</f>
        <v>4</v>
      </c>
    </row>
    <row r="28" customFormat="false" ht="26.85" hidden="false" customHeight="false" outlineLevel="0" collapsed="false">
      <c r="A28" s="52" t="n">
        <v>22</v>
      </c>
      <c r="B28" s="52" t="s">
        <v>269</v>
      </c>
      <c r="C28" s="53" t="str">
        <f aca="false">'RAW DATA Q2 - 1'!CS$1</f>
        <v>How would you rate the supplier's services in conducting System Integration Test (SIT) with AXA IT testing team and IT Project Team?</v>
      </c>
      <c r="D28" s="54" t="n">
        <f aca="false">'RAW DATA Q2 - 1'!CS2</f>
        <v>4</v>
      </c>
    </row>
    <row r="29" customFormat="false" ht="26.85" hidden="false" customHeight="false" outlineLevel="0" collapsed="false">
      <c r="A29" s="52" t="n">
        <v>23</v>
      </c>
      <c r="B29" s="52" t="s">
        <v>269</v>
      </c>
      <c r="C29" s="53" t="str">
        <f aca="false">'RAW DATA Q2 - 1'!CT$1</f>
        <v>How would you rate the supplier's services in conducting User Acceptance Test (UAT) with AXA Business Team and Project IT Team?</v>
      </c>
      <c r="D29" s="54" t="n">
        <f aca="false">'RAW DATA Q2 - 1'!CT2</f>
        <v>4</v>
      </c>
    </row>
    <row r="30" customFormat="false" ht="26.85" hidden="false" customHeight="false" outlineLevel="0" collapsed="false">
      <c r="A30" s="52" t="n">
        <v>24</v>
      </c>
      <c r="B30" s="52" t="s">
        <v>269</v>
      </c>
      <c r="C30" s="53" t="str">
        <f aca="false">'RAW DATA Q2 - 1'!CU$1</f>
        <v>How would you rate the supplier's services in migrating to production server or Go Live and providing support after Go Live?</v>
      </c>
      <c r="D30" s="54" t="n">
        <f aca="false">'RAW DATA Q2 - 1'!CU2</f>
        <v>4</v>
      </c>
    </row>
    <row r="31" customFormat="false" ht="39.55" hidden="false" customHeight="false" outlineLevel="0" collapsed="false">
      <c r="A31" s="52" t="n">
        <v>25</v>
      </c>
      <c r="B31" s="52" t="s">
        <v>269</v>
      </c>
      <c r="C31" s="53" t="str">
        <f aca="false">'RAW DATA Q2 - 1'!CV$1</f>
        <v>How would you rate the supplier's services in providing the human resources needed in the project and timeline according to the agreed scope?</v>
      </c>
      <c r="D31" s="54" t="n">
        <f aca="false">'RAW DATA Q2 - 1'!CV2</f>
        <v>4</v>
      </c>
    </row>
    <row r="32" customFormat="false" ht="26.85" hidden="false" customHeight="false" outlineLevel="0" collapsed="false">
      <c r="A32" s="52" t="n">
        <v>26</v>
      </c>
      <c r="B32" s="52" t="s">
        <v>269</v>
      </c>
      <c r="C32" s="53" t="str">
        <f aca="false">'RAW DATA Q2 - 1'!CW$1</f>
        <v>How would you rate the supplier's services in assigning a Project Manager to coordinate with the AXA team?</v>
      </c>
      <c r="D32" s="54" t="n">
        <f aca="false">'RAW DATA Q2 - 1'!CW2</f>
        <v>4</v>
      </c>
    </row>
    <row r="33" customFormat="false" ht="15" hidden="false" customHeight="false" outlineLevel="0" collapsed="false">
      <c r="A33" s="52" t="n">
        <v>27</v>
      </c>
      <c r="B33" s="52" t="s">
        <v>269</v>
      </c>
      <c r="C33" s="53" t="str">
        <f aca="false">'RAW DATA Q2 - 1'!CX$1</f>
        <v>How would you rate the supplier's project documentation as follows:</v>
      </c>
      <c r="D33" s="54" t="n">
        <f aca="false">'RAW DATA Q2 - 1'!CX2</f>
        <v>4</v>
      </c>
    </row>
    <row r="34" customFormat="false" ht="39.55" hidden="false" customHeight="false" outlineLevel="0" collapsed="false">
      <c r="A34" s="52" t="n">
        <v>28</v>
      </c>
      <c r="B34" s="52" t="s">
        <v>269</v>
      </c>
      <c r="C34" s="53" t="str">
        <f aca="false">'RAW DATA Q2 - 1'!CY$1</f>
        <v>How would you rate the supplier support in providing the perform maintenance on all software related to 3Dolphins, which is installed in the AXA data center?</v>
      </c>
      <c r="D34" s="54" t="n">
        <f aca="false">'RAW DATA Q2 - 1'!CY2</f>
        <v>4</v>
      </c>
    </row>
    <row r="35" customFormat="false" ht="39.55" hidden="false" customHeight="false" outlineLevel="0" collapsed="false">
      <c r="A35" s="52" t="n">
        <v>29</v>
      </c>
      <c r="B35" s="52" t="s">
        <v>269</v>
      </c>
      <c r="C35" s="53" t="str">
        <f aca="false">'RAW DATA Q2 - 1'!CZ$1</f>
        <v>How would you rate the supplier support in providing 3Dolphins application maintenance service time, namely 24 hours x 7 days a week, 365 days/year?</v>
      </c>
      <c r="D35" s="54" t="n">
        <f aca="false">'RAW DATA Q2 - 1'!CZ2</f>
        <v>4</v>
      </c>
    </row>
    <row r="36" customFormat="false" ht="39.55" hidden="false" customHeight="false" outlineLevel="0" collapsed="false">
      <c r="A36" s="52" t="n">
        <v>30</v>
      </c>
      <c r="B36" s="52" t="s">
        <v>269</v>
      </c>
      <c r="C36" s="53" t="str">
        <f aca="false">'RAW DATA Q2 - 1'!DA$1</f>
        <v>How would you rate the supplier support in preparing at least 2 people who understand and are experts in chatbots owned by AXA and can also provide support for services that often occur (eg. New custo</v>
      </c>
      <c r="D36" s="54" t="n">
        <f aca="false">'RAW DATA Q2 - 1'!DA2</f>
        <v>4</v>
      </c>
    </row>
    <row r="37" customFormat="false" ht="39.55" hidden="false" customHeight="false" outlineLevel="0" collapsed="false">
      <c r="A37" s="52" t="n">
        <v>31</v>
      </c>
      <c r="B37" s="52" t="s">
        <v>269</v>
      </c>
      <c r="C37" s="53" t="str">
        <f aca="false">'RAW DATA Q2 - 1'!DB$1</f>
        <v>How would you rate the supplier support in providing support center that can be visited during AXA business hours to respond to any questions and issues that arise?</v>
      </c>
      <c r="D37" s="54" t="n">
        <f aca="false">'RAW DATA Q2 - 1'!DB2</f>
        <v>4</v>
      </c>
    </row>
    <row r="38" customFormat="false" ht="26.85" hidden="false" customHeight="false" outlineLevel="0" collapsed="false">
      <c r="A38" s="52" t="n">
        <v>32</v>
      </c>
      <c r="B38" s="52" t="s">
        <v>269</v>
      </c>
      <c r="C38" s="53" t="str">
        <f aca="false">'RAW DATA Q2 - 1'!DC$1</f>
        <v>How would you rate the supplier support in providing SLA reports to AXA?</v>
      </c>
      <c r="D38" s="54" t="n">
        <f aca="false">'RAW DATA Q2 - 1'!DC2</f>
        <v>4</v>
      </c>
    </row>
    <row r="39" customFormat="false" ht="39.55" hidden="false" customHeight="false" outlineLevel="0" collapsed="false">
      <c r="A39" s="52" t="n">
        <v>33</v>
      </c>
      <c r="B39" s="52" t="s">
        <v>269</v>
      </c>
      <c r="C39" s="53" t="str">
        <f aca="false">'RAW DATA Q2 - 1'!DD$1</f>
        <v>How would you rate the supplier support in providing testing and updates the Chatbot Solution if there is a new software version/release/patch according to the required conditions?</v>
      </c>
      <c r="D39" s="54" t="n">
        <f aca="false">'RAW DATA Q2 - 1'!DD2</f>
        <v>4</v>
      </c>
    </row>
    <row r="40" customFormat="false" ht="39.55" hidden="false" customHeight="false" outlineLevel="0" collapsed="false">
      <c r="A40" s="52" t="n">
        <v>34</v>
      </c>
      <c r="B40" s="52" t="s">
        <v>269</v>
      </c>
      <c r="C40" s="53" t="str">
        <f aca="false">'RAW DATA Q2 - 1'!DE$1</f>
        <v>How would you rate the supplier support in reinstall the 3Dolphins application a maximum of 1 time per year if AXA will upgrade the hardware?</v>
      </c>
      <c r="D40" s="54" t="n">
        <f aca="false">'RAW DATA Q2 - 1'!DE2</f>
        <v>4</v>
      </c>
    </row>
    <row r="41" customFormat="false" ht="26.85" hidden="false" customHeight="false" outlineLevel="0" collapsed="false">
      <c r="A41" s="52" t="n">
        <v>35</v>
      </c>
      <c r="B41" s="52" t="s">
        <v>269</v>
      </c>
      <c r="C41" s="53" t="str">
        <f aca="false">'RAW DATA Q2 - 1'!DF$1</f>
        <v>How would you rate the supplier support in providing a checklist to monitor daily activities?</v>
      </c>
      <c r="D41" s="54" t="n">
        <f aca="false">'RAW DATA Q2 - 1'!DF2</f>
        <v>4</v>
      </c>
    </row>
    <row r="42" customFormat="false" ht="26.85" hidden="false" customHeight="false" outlineLevel="0" collapsed="false">
      <c r="A42" s="52" t="n">
        <v>36</v>
      </c>
      <c r="B42" s="52" t="s">
        <v>269</v>
      </c>
      <c r="C42" s="53" t="str">
        <f aca="false">'RAW DATA Q2 - 1'!DG$1</f>
        <v>How would you rate the supplier support in providing a testing configuration and event logging?</v>
      </c>
      <c r="D42" s="54" t="n">
        <f aca="false">'RAW DATA Q2 - 1'!DG2</f>
        <v>4</v>
      </c>
    </row>
    <row r="43" customFormat="false" ht="26.85" hidden="false" customHeight="false" outlineLevel="0" collapsed="false">
      <c r="A43" s="52" t="n">
        <v>37</v>
      </c>
      <c r="B43" s="52" t="s">
        <v>269</v>
      </c>
      <c r="C43" s="53" t="str">
        <f aca="false">'RAW DATA Q2 - 1'!DH$1</f>
        <v>How would you rate the supplier support in providing a backup for short and long term?</v>
      </c>
      <c r="D43" s="54" t="n">
        <f aca="false">'RAW DATA Q2 - 1'!DH2</f>
        <v>4</v>
      </c>
    </row>
    <row r="44" customFormat="false" ht="26.85" hidden="false" customHeight="false" outlineLevel="0" collapsed="false">
      <c r="A44" s="55" t="n">
        <v>38</v>
      </c>
      <c r="B44" s="55" t="s">
        <v>270</v>
      </c>
      <c r="C44" s="56" t="str">
        <f aca="false">'RAW DATA Q2 - 1'!EU$1</f>
        <v>How would you rate the supplier's timeliness in delivering goods/services compared to the agreed-upon timeline?</v>
      </c>
      <c r="D44" s="57" t="n">
        <f aca="false">'RAW DATA Q2 - 1'!EU2</f>
        <v>4</v>
      </c>
    </row>
    <row r="45" customFormat="false" ht="15" hidden="false" customHeight="false" outlineLevel="0" collapsed="false">
      <c r="A45" s="55" t="n">
        <v>39</v>
      </c>
      <c r="B45" s="55" t="s">
        <v>270</v>
      </c>
      <c r="C45" s="56" t="str">
        <f aca="false">'RAW DATA Q2 - 1'!EV$1</f>
        <v>How would you rate the supplier's timeliness in sending reports to you?</v>
      </c>
      <c r="D45" s="57" t="n">
        <f aca="false">'RAW DATA Q2 - 1'!EV2</f>
        <v>4</v>
      </c>
    </row>
    <row r="46" customFormat="false" ht="26.85" hidden="false" customHeight="false" outlineLevel="0" collapsed="false">
      <c r="A46" s="55" t="n">
        <v>40</v>
      </c>
      <c r="B46" s="55" t="s">
        <v>270</v>
      </c>
      <c r="C46" s="56" t="str">
        <f aca="false">'RAW DATA Q2 - 1'!EW$1</f>
        <v>How would you rate the supplier's speed ​​of administrative completion, including completion of contracts draft?</v>
      </c>
      <c r="D46" s="57" t="n">
        <f aca="false">'RAW DATA Q2 - 1'!EW2</f>
        <v>4</v>
      </c>
    </row>
    <row r="47" customFormat="false" ht="15" hidden="false" customHeight="false" outlineLevel="0" collapsed="false">
      <c r="A47" s="58" t="n">
        <v>41</v>
      </c>
      <c r="B47" s="58" t="s">
        <v>271</v>
      </c>
      <c r="C47" s="59" t="str">
        <f aca="false">'RAW DATA Q2 - 1'!FM$1</f>
        <v>How would you rate the supplier's communication with you?</v>
      </c>
      <c r="D47" s="60" t="n">
        <f aca="false">'RAW DATA Q2 - 1'!FM2</f>
        <v>4</v>
      </c>
    </row>
    <row r="48" customFormat="false" ht="26.85" hidden="false" customHeight="false" outlineLevel="0" collapsed="false">
      <c r="A48" s="58" t="n">
        <v>42</v>
      </c>
      <c r="B48" s="58" t="s">
        <v>271</v>
      </c>
      <c r="C48" s="59" t="str">
        <f aca="false">'RAW DATA Q2 - 1'!FN$1</f>
        <v>How would you rate the supplier's PIC's availability to be contacted when needed?</v>
      </c>
      <c r="D48" s="60" t="n">
        <f aca="false">'RAW DATA Q2 - 1'!FN2</f>
        <v>4</v>
      </c>
    </row>
    <row r="49" customFormat="false" ht="39.55" hidden="false" customHeight="false" outlineLevel="0" collapsed="false">
      <c r="A49" s="58" t="n">
        <v>43</v>
      </c>
      <c r="B49" s="58" t="s">
        <v>271</v>
      </c>
      <c r="C49" s="59" t="str">
        <f aca="false">'RAW DATA Q2 - 1'!FO$1</f>
        <v>How would you rate the supplier's response speed to you when there are issues?
</v>
      </c>
      <c r="D49" s="60" t="n">
        <f aca="false">'RAW DATA Q2 - 1'!FO2</f>
        <v>4</v>
      </c>
    </row>
    <row r="51" customFormat="false" ht="15" hidden="false" customHeight="false" outlineLevel="0" collapsed="false">
      <c r="A51" s="50" t="s">
        <v>272</v>
      </c>
      <c r="B51" s="61" t="n">
        <f aca="false">AVERAGEIF(B7:B49,"Quality",D7:D49)</f>
        <v>4</v>
      </c>
    </row>
    <row r="52" customFormat="false" ht="15" hidden="false" customHeight="false" outlineLevel="0" collapsed="false">
      <c r="A52" s="50" t="s">
        <v>273</v>
      </c>
      <c r="B52" s="61" t="n">
        <f aca="false">AVERAGEIF(B7:B49,"Timeline",D7:D49)</f>
        <v>4</v>
      </c>
    </row>
    <row r="53" customFormat="false" ht="15" hidden="false" customHeight="false" outlineLevel="0" collapsed="false">
      <c r="A53" s="50" t="s">
        <v>274</v>
      </c>
      <c r="B53" s="61" t="n">
        <f aca="false">AVERAGEIF(B7:B49,"Relationship",D7:D49)</f>
        <v>4</v>
      </c>
    </row>
    <row r="54" customFormat="false" ht="15" hidden="false" customHeight="false" outlineLevel="0" collapsed="false">
      <c r="A54" s="50" t="s">
        <v>275</v>
      </c>
      <c r="B54" s="62" t="n">
        <f aca="false">B51*0.35+B52*0.35+B53*0.3</f>
        <v>4</v>
      </c>
    </row>
    <row r="55" customFormat="false" ht="15" hidden="false" customHeight="false" outlineLevel="0" collapsed="false">
      <c r="A55" s="50" t="s">
        <v>276</v>
      </c>
      <c r="B55" s="50" t="str">
        <f aca="false">IF(B54&gt;4.99,"Exceptional",IF(B54&gt;3.99,"Exceed Expectation",IF(B54&gt;=2.99,"Meet Expectation",IF(B54&gt;1.9,"Below Expectation","Unsatisfactory"))))</f>
        <v>Exceed Expectation</v>
      </c>
    </row>
    <row r="57" customFormat="false" ht="15" hidden="false" customHeight="false" outlineLevel="0" collapsed="false">
      <c r="A57" s="63" t="s">
        <v>277</v>
      </c>
    </row>
    <row r="58" customFormat="false" ht="15" hidden="false" customHeight="false" outlineLevel="0" collapsed="false">
      <c r="A58" s="46" t="s">
        <v>278</v>
      </c>
      <c r="B58" s="64" t="str">
        <f aca="false">'RAW DATA Q2 - 1'!FP2</f>
        <v>Yes</v>
      </c>
    </row>
    <row r="59" customFormat="false" ht="15" hidden="false" customHeight="false" outlineLevel="0" collapsed="false">
      <c r="A59" s="46" t="s">
        <v>279</v>
      </c>
      <c r="B59" s="64" t="str">
        <f aca="false">'RAW DATA Q2 - 1'!FQ2</f>
        <v>Yes</v>
      </c>
    </row>
    <row r="60" customFormat="false" ht="41.75" hidden="false" customHeight="false" outlineLevel="0" collapsed="false">
      <c r="A60" s="46" t="s">
        <v>280</v>
      </c>
      <c r="B60" s="64" t="str">
        <f aca="false">'RAW DATA Q2 - 1'!FR2</f>
        <v>Yes, DPIA completed and there are actions to be done by Project Owner</v>
      </c>
    </row>
    <row r="61" customFormat="false" ht="15" hidden="false" customHeight="false" outlineLevel="0" collapsed="false">
      <c r="A61" s="46" t="s">
        <v>281</v>
      </c>
      <c r="B61" s="64" t="str">
        <f aca="false">'RAW DATA Q2 - 1'!FS2</f>
        <v>DPSQ not completed yet</v>
      </c>
    </row>
    <row r="62" customFormat="false" ht="41.75" hidden="false" customHeight="false" outlineLevel="0" collapsed="false">
      <c r="A62" s="46" t="s">
        <v>282</v>
      </c>
      <c r="B62" s="64" t="str">
        <f aca="false">'RAW DATA Q2 - 1'!FT2</f>
        <v>Yes, VSDDT completed and there are actions to be done by supplier</v>
      </c>
    </row>
    <row r="63" customFormat="false" ht="15" hidden="false" customHeight="false" outlineLevel="0" collapsed="false">
      <c r="A63" s="46" t="s">
        <v>283</v>
      </c>
    </row>
    <row r="65" customFormat="false" ht="15" hidden="false" customHeight="false" outlineLevel="0" collapsed="false">
      <c r="A65" s="63" t="s">
        <v>284</v>
      </c>
    </row>
    <row r="66" customFormat="false" ht="15" hidden="false" customHeight="false" outlineLevel="0" collapsed="false">
      <c r="B66" s="65" t="str">
        <f aca="false">'RAW DATA Q2 - 1'!FU2</f>
        <v>Tetap up to date dan helpful</v>
      </c>
      <c r="C66" s="65"/>
      <c r="D66" s="65"/>
    </row>
  </sheetData>
  <mergeCells count="2">
    <mergeCell ref="A1:D1"/>
    <mergeCell ref="B66: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191</v>
      </c>
    </row>
    <row r="3" customFormat="false" ht="15" hidden="false" customHeight="false" outlineLevel="0" collapsed="false">
      <c r="A3" s="50" t="s">
        <v>29</v>
      </c>
      <c r="B3" s="46" t="s">
        <v>237</v>
      </c>
    </row>
    <row r="4" customFormat="false" ht="15" hidden="false" customHeight="false" outlineLevel="0" collapsed="false">
      <c r="A4" s="50" t="s">
        <v>266</v>
      </c>
      <c r="B4" s="46" t="s">
        <v>238</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Q2 - 1'!AL$1</f>
        <v>How would you rate Supplier's ability to understand and meet your needs?2</v>
      </c>
      <c r="D7" s="54" t="n">
        <f aca="false">'RAW DATA Q2 - 1'!AL14</f>
        <v>4</v>
      </c>
    </row>
    <row r="8" customFormat="false" ht="26.85" hidden="false" customHeight="false" outlineLevel="0" collapsed="false">
      <c r="A8" s="52" t="n">
        <v>2</v>
      </c>
      <c r="B8" s="52" t="s">
        <v>269</v>
      </c>
      <c r="C8" s="53" t="str">
        <f aca="false">'RAW DATA Q2 - 1'!AM$1</f>
        <v>How would you rate the The goods/services provided by the Supplier against the agreed standards?</v>
      </c>
      <c r="D8" s="54" t="n">
        <f aca="false">'RAW DATA Q2 - 1'!AM14</f>
        <v>5</v>
      </c>
    </row>
    <row r="9" customFormat="false" ht="15" hidden="false" customHeight="false" outlineLevel="0" collapsed="false">
      <c r="A9" s="52" t="n">
        <v>3</v>
      </c>
      <c r="B9" s="52" t="s">
        <v>269</v>
      </c>
      <c r="C9" s="53" t="str">
        <f aca="false">'RAW DATA Q2 - 1'!AN$1</f>
        <v>How would you rate the General support and maintenance requirement?</v>
      </c>
      <c r="D9" s="54" t="n">
        <f aca="false">'RAW DATA Q2 - 1'!AN14</f>
        <v>5</v>
      </c>
    </row>
    <row r="10" customFormat="false" ht="39.55" hidden="false" customHeight="false" outlineLevel="0" collapsed="false">
      <c r="A10" s="52" t="n">
        <v>4</v>
      </c>
      <c r="B10" s="52" t="s">
        <v>269</v>
      </c>
      <c r="C10" s="53" t="str">
        <f aca="false">'RAW DATA Q2 - 1'!AO$1</f>
        <v>How would you rate the Performance Management Requirement which includes to support low latency, documentation, performance monitoring, and any major or minor updates?</v>
      </c>
      <c r="D10" s="54" t="n">
        <f aca="false">'RAW DATA Q2 - 1'!AO14</f>
        <v>5</v>
      </c>
    </row>
    <row r="11" customFormat="false" ht="15" hidden="false" customHeight="false" outlineLevel="0" collapsed="false">
      <c r="A11" s="52" t="n">
        <v>5</v>
      </c>
      <c r="B11" s="52" t="s">
        <v>269</v>
      </c>
      <c r="C11" s="53" t="str">
        <f aca="false">'RAW DATA Q2 - 1'!AP$1</f>
        <v>How would you rate the Security Management Requirement?</v>
      </c>
      <c r="D11" s="54" t="n">
        <f aca="false">'RAW DATA Q2 - 1'!AP14</f>
        <v>5</v>
      </c>
    </row>
    <row r="12" customFormat="false" ht="26.85" hidden="false" customHeight="false" outlineLevel="0" collapsed="false">
      <c r="A12" s="52" t="n">
        <v>6</v>
      </c>
      <c r="B12" s="52" t="s">
        <v>269</v>
      </c>
      <c r="C12" s="53" t="str">
        <f aca="false">'RAW DATA Q2 - 1'!AQ$1</f>
        <v>How would you rate the Supporting Model which includes onsite support from dedicated engineers and its service level agreement (SLA)?</v>
      </c>
      <c r="D12" s="54" t="n">
        <f aca="false">'RAW DATA Q2 - 1'!AQ14</f>
        <v>4</v>
      </c>
    </row>
    <row r="13" customFormat="false" ht="15" hidden="false" customHeight="false" outlineLevel="0" collapsed="false">
      <c r="A13" s="52" t="n">
        <v>7</v>
      </c>
      <c r="B13" s="52" t="s">
        <v>269</v>
      </c>
      <c r="C13" s="53" t="str">
        <f aca="false">'RAW DATA Q2 - 1'!AR$1</f>
        <v>How would you rate the accuracy of the data in the Supplier's reports?1</v>
      </c>
      <c r="D13" s="54" t="n">
        <f aca="false">'RAW DATA Q2 - 1'!AR14</f>
        <v>5</v>
      </c>
    </row>
    <row r="14" customFormat="false" ht="26.85" hidden="false" customHeight="false" outlineLevel="0" collapsed="false">
      <c r="A14" s="52" t="n">
        <v>8</v>
      </c>
      <c r="B14" s="52" t="s">
        <v>269</v>
      </c>
      <c r="C14" s="53" t="str">
        <f aca="false">'RAW DATA Q2 - 1'!AS$1</f>
        <v>How would you rate overall quality of the work reports provided by the Supplier?1</v>
      </c>
      <c r="D14" s="54" t="n">
        <f aca="false">'RAW DATA Q2 - 1'!AS14</f>
        <v>4</v>
      </c>
    </row>
    <row r="15" customFormat="false" ht="15" hidden="false" customHeight="false" outlineLevel="0" collapsed="false">
      <c r="A15" s="52" t="n">
        <v>9</v>
      </c>
      <c r="B15" s="52" t="s">
        <v>269</v>
      </c>
      <c r="C15" s="53" t="str">
        <f aca="false">'RAW DATA Q2 - 1'!AT$1</f>
        <v>How would you rate the solutions provided when there is trouble?1</v>
      </c>
      <c r="D15" s="54" t="n">
        <f aca="false">'RAW DATA Q2 - 1'!AT14</f>
        <v>5</v>
      </c>
    </row>
    <row r="16" customFormat="false" ht="15" hidden="false" customHeight="false" outlineLevel="0" collapsed="false">
      <c r="A16" s="52" t="n">
        <v>10</v>
      </c>
      <c r="B16" s="52" t="s">
        <v>269</v>
      </c>
      <c r="C16" s="53" t="str">
        <f aca="false">'RAW DATA Q2 - 1'!AU$1</f>
        <v>How would you rate the resolution to the problem that occurred?1</v>
      </c>
      <c r="D16" s="54" t="n">
        <f aca="false">'RAW DATA Q2 - 1'!AU14</f>
        <v>4</v>
      </c>
    </row>
    <row r="17" customFormat="false" ht="26.85" hidden="false" customHeight="false" outlineLevel="0" collapsed="false">
      <c r="A17" s="52" t="n">
        <v>11</v>
      </c>
      <c r="B17" s="52" t="s">
        <v>269</v>
      </c>
      <c r="C17" s="53" t="str">
        <f aca="false">'RAW DATA Q2 - 1'!AV$1</f>
        <v>How would you rate the speed of resolution given to problems that occur?1</v>
      </c>
      <c r="D17" s="54" t="n">
        <f aca="false">'RAW DATA Q2 - 1'!AV14</f>
        <v>5</v>
      </c>
    </row>
    <row r="18" customFormat="false" ht="26.85" hidden="false" customHeight="false" outlineLevel="0" collapsed="false">
      <c r="A18" s="52" t="n">
        <v>12</v>
      </c>
      <c r="B18" s="52" t="s">
        <v>269</v>
      </c>
      <c r="C18" s="53" t="str">
        <f aca="false">'RAW DATA Q2 - 1'!AW$1</f>
        <v>How would you rate the supplier initiative to take mitigation/preventive action to prevent the problem from recurring?1</v>
      </c>
      <c r="D18" s="54" t="n">
        <f aca="false">'RAW DATA Q2 - 1'!AW14</f>
        <v>4</v>
      </c>
    </row>
    <row r="19" customFormat="false" ht="26.85" hidden="false" customHeight="false" outlineLevel="0" collapsed="false">
      <c r="A19" s="52" t="n">
        <v>13</v>
      </c>
      <c r="B19" s="52" t="s">
        <v>269</v>
      </c>
      <c r="C19" s="53" t="str">
        <f aca="false">'RAW DATA Q2 - 1'!AX$1</f>
        <v>How would you rate supplier compliance with administrative processes, including completion of draft cooperation contract?2</v>
      </c>
      <c r="D19" s="54" t="n">
        <f aca="false">'RAW DATA Q2 - 1'!AX14</f>
        <v>5</v>
      </c>
    </row>
    <row r="20" customFormat="false" ht="26.85" hidden="false" customHeight="false" outlineLevel="0" collapsed="false">
      <c r="A20" s="55" t="n">
        <v>14</v>
      </c>
      <c r="B20" s="55" t="s">
        <v>270</v>
      </c>
      <c r="C20" s="56" t="str">
        <f aca="false">'RAW DATA Q2 - 1'!EU$1</f>
        <v>How would you rate the supplier's timeliness in delivering goods/services compared to the agreed-upon timeline?</v>
      </c>
      <c r="D20" s="57" t="n">
        <f aca="false">'RAW DATA Q2 - 1'!EU14</f>
        <v>4</v>
      </c>
    </row>
    <row r="21" customFormat="false" ht="15" hidden="false" customHeight="false" outlineLevel="0" collapsed="false">
      <c r="A21" s="55" t="n">
        <v>15</v>
      </c>
      <c r="B21" s="55" t="s">
        <v>270</v>
      </c>
      <c r="C21" s="56" t="str">
        <f aca="false">'RAW DATA Q2 - 1'!EV$1</f>
        <v>How would you rate the supplier's timeliness in sending reports to you?</v>
      </c>
      <c r="D21" s="57" t="n">
        <f aca="false">'RAW DATA Q2 - 1'!EV14</f>
        <v>5</v>
      </c>
    </row>
    <row r="22" customFormat="false" ht="26.85" hidden="false" customHeight="false" outlineLevel="0" collapsed="false">
      <c r="A22" s="55" t="n">
        <v>16</v>
      </c>
      <c r="B22" s="55" t="s">
        <v>270</v>
      </c>
      <c r="C22" s="56" t="str">
        <f aca="false">'RAW DATA Q2 - 1'!EW$1</f>
        <v>How would you rate the supplier's speed ​​of administrative completion, including completion of contracts draft?</v>
      </c>
      <c r="D22" s="57" t="n">
        <f aca="false">'RAW DATA Q2 - 1'!EW14</f>
        <v>5</v>
      </c>
    </row>
    <row r="23" customFormat="false" ht="15" hidden="false" customHeight="false" outlineLevel="0" collapsed="false">
      <c r="A23" s="58" t="n">
        <v>17</v>
      </c>
      <c r="B23" s="58" t="s">
        <v>271</v>
      </c>
      <c r="C23" s="59" t="str">
        <f aca="false">'RAW DATA Q2 - 1'!FM$1</f>
        <v>How would you rate the supplier's communication with you?</v>
      </c>
      <c r="D23" s="60" t="n">
        <f aca="false">'RAW DATA Q2 - 1'!FM14</f>
        <v>5</v>
      </c>
    </row>
    <row r="24" customFormat="false" ht="26.85" hidden="false" customHeight="false" outlineLevel="0" collapsed="false">
      <c r="A24" s="58" t="n">
        <v>18</v>
      </c>
      <c r="B24" s="58" t="s">
        <v>271</v>
      </c>
      <c r="C24" s="59" t="str">
        <f aca="false">'RAW DATA Q2 - 1'!FN$1</f>
        <v>How would you rate the supplier's PIC's availability to be contacted when needed?</v>
      </c>
      <c r="D24" s="60" t="n">
        <f aca="false">'RAW DATA Q2 - 1'!FN14</f>
        <v>5</v>
      </c>
    </row>
    <row r="25" customFormat="false" ht="39.55" hidden="false" customHeight="false" outlineLevel="0" collapsed="false">
      <c r="A25" s="58" t="n">
        <v>19</v>
      </c>
      <c r="B25" s="58" t="s">
        <v>271</v>
      </c>
      <c r="C25" s="59" t="str">
        <f aca="false">'RAW DATA Q2 - 1'!FO$1</f>
        <v>How would you rate the supplier's response speed to you when there are issues?
</v>
      </c>
      <c r="D25" s="60" t="n">
        <f aca="false">'RAW DATA Q2 - 1'!FO14</f>
        <v>5</v>
      </c>
    </row>
    <row r="27" customFormat="false" ht="15" hidden="false" customHeight="false" outlineLevel="0" collapsed="false">
      <c r="A27" s="50" t="s">
        <v>272</v>
      </c>
      <c r="B27" s="61" t="n">
        <f aca="false">AVERAGEIF(B7:B25,"Quality",D7:D25)</f>
        <v>4.61538461538462</v>
      </c>
    </row>
    <row r="28" customFormat="false" ht="15" hidden="false" customHeight="false" outlineLevel="0" collapsed="false">
      <c r="A28" s="50" t="s">
        <v>273</v>
      </c>
      <c r="B28" s="61" t="n">
        <f aca="false">AVERAGEIF(B7:B25,"Timeline",D7:D25)</f>
        <v>4.66666666666667</v>
      </c>
    </row>
    <row r="29" customFormat="false" ht="15" hidden="false" customHeight="false" outlineLevel="0" collapsed="false">
      <c r="A29" s="50" t="s">
        <v>274</v>
      </c>
      <c r="B29" s="61" t="n">
        <f aca="false">AVERAGEIF(B7:B25,"Relationship",D7:D25)</f>
        <v>5</v>
      </c>
    </row>
    <row r="30" customFormat="false" ht="15" hidden="false" customHeight="false" outlineLevel="0" collapsed="false">
      <c r="A30" s="50" t="s">
        <v>275</v>
      </c>
      <c r="B30" s="62" t="n">
        <f aca="false">B27*0.35+B28*0.35+B29*0.3</f>
        <v>4.74871794871795</v>
      </c>
    </row>
    <row r="31" customFormat="false" ht="15" hidden="false" customHeight="false" outlineLevel="0" collapsed="false">
      <c r="A31" s="50" t="s">
        <v>276</v>
      </c>
      <c r="B31" s="50" t="str">
        <f aca="false">IF(B30&gt;4.99,"Exceptional",IF(B30&gt;3.99,"Exceed Expectation",IF(B30&gt;=2.99,"Meet Expectation",IF(B30&gt;1.9,"Below Expectation","Unsatisfactory"))))</f>
        <v>Exceed Expectation</v>
      </c>
    </row>
    <row r="33" customFormat="false" ht="15" hidden="false" customHeight="false" outlineLevel="0" collapsed="false">
      <c r="A33" s="63" t="s">
        <v>277</v>
      </c>
    </row>
    <row r="34" customFormat="false" ht="15" hidden="false" customHeight="false" outlineLevel="0" collapsed="false">
      <c r="A34" s="46" t="s">
        <v>278</v>
      </c>
      <c r="B34" s="64" t="str">
        <f aca="false">'RAW DATA Q2 - 1'!FP14</f>
        <v>Yes</v>
      </c>
    </row>
    <row r="35" customFormat="false" ht="15" hidden="false" customHeight="false" outlineLevel="0" collapsed="false">
      <c r="A35" s="46" t="s">
        <v>279</v>
      </c>
      <c r="B35" s="64" t="str">
        <f aca="false">'RAW DATA Q2 - 1'!FQ14</f>
        <v>Yes</v>
      </c>
    </row>
    <row r="36" customFormat="false" ht="41.75" hidden="false" customHeight="false" outlineLevel="0" collapsed="false">
      <c r="A36" s="46" t="s">
        <v>280</v>
      </c>
      <c r="B36" s="64" t="str">
        <f aca="false">'RAW DATA Q2 - 1'!FR14</f>
        <v>Yes, DPIA completed and there are actions to be done by Project Owner</v>
      </c>
    </row>
    <row r="37" customFormat="false" ht="15" hidden="false" customHeight="false" outlineLevel="0" collapsed="false">
      <c r="A37" s="46" t="s">
        <v>281</v>
      </c>
      <c r="B37" s="64" t="str">
        <f aca="false">'RAW DATA Q2 - 1'!FS14</f>
        <v>No Implementation</v>
      </c>
    </row>
    <row r="38" customFormat="false" ht="41.75" hidden="false" customHeight="false" outlineLevel="0" collapsed="false">
      <c r="A38" s="46" t="s">
        <v>282</v>
      </c>
      <c r="B38" s="64" t="str">
        <f aca="false">'RAW DATA Q2 - 1'!FT14</f>
        <v>Yes, VSDDT completed and there are actions to be done by supplier</v>
      </c>
    </row>
    <row r="39" customFormat="false" ht="15" hidden="false" customHeight="false" outlineLevel="0" collapsed="false">
      <c r="A39" s="46" t="s">
        <v>283</v>
      </c>
    </row>
    <row r="41" customFormat="false" ht="15" hidden="false" customHeight="false" outlineLevel="0" collapsed="false">
      <c r="A41" s="63" t="s">
        <v>284</v>
      </c>
    </row>
    <row r="42" customFormat="false" ht="55.2" hidden="false" customHeight="false" outlineLevel="0" collapsed="false">
      <c r="B42" s="65" t="str">
        <f aca="false">'RAW DATA Q2 - 1'!FU14</f>
        <v>Respons terhadap issue maupun kebutuhan sudah cukup baik dan cepat. Support on-site juga sangat membantu dan responsif. Ke depannya, mungkin dapat lebih rutin memberikan update terkait progress kendala atau perbaikan yang sedang dilakukan, sehingga pihak terkait dapat mengetahui status terbaru dan lebih cepat menentukan langkah selanjutnya.</v>
      </c>
      <c r="C42" s="65"/>
      <c r="D42" s="65"/>
    </row>
  </sheetData>
  <mergeCells count="2">
    <mergeCell ref="A1:D1"/>
    <mergeCell ref="B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239</v>
      </c>
    </row>
    <row r="3" customFormat="false" ht="15" hidden="false" customHeight="false" outlineLevel="0" collapsed="false">
      <c r="A3" s="50" t="s">
        <v>29</v>
      </c>
      <c r="B3" s="46" t="s">
        <v>240</v>
      </c>
    </row>
    <row r="4" customFormat="false" ht="15" hidden="false" customHeight="false" outlineLevel="0" collapsed="false">
      <c r="A4" s="50" t="s">
        <v>266</v>
      </c>
      <c r="B4" s="46" t="s">
        <v>241</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Q2 - 2'!AU$1</f>
        <v>How would you rate the goods/services provided by the Supplier against the agreed standards1</v>
      </c>
      <c r="D7" s="54" t="n">
        <f aca="false">'RAW DATA Q2 - 2'!AU10</f>
        <v>4</v>
      </c>
    </row>
    <row r="8" customFormat="false" ht="15" hidden="false" customHeight="false" outlineLevel="0" collapsed="false">
      <c r="A8" s="52" t="n">
        <v>2</v>
      </c>
      <c r="B8" s="52" t="s">
        <v>269</v>
      </c>
      <c r="C8" s="53" t="str">
        <f aca="false">'RAW DATA Q2 - 2'!AV$1</f>
        <v>How would you rate the accuracy of the data in the Supplier's reports?2</v>
      </c>
      <c r="D8" s="54" t="n">
        <f aca="false">'RAW DATA Q2 - 2'!AV10</f>
        <v>3</v>
      </c>
    </row>
    <row r="9" customFormat="false" ht="26.85" hidden="false" customHeight="false" outlineLevel="0" collapsed="false">
      <c r="A9" s="52" t="n">
        <v>3</v>
      </c>
      <c r="B9" s="52" t="s">
        <v>269</v>
      </c>
      <c r="C9" s="53" t="str">
        <f aca="false">'RAW DATA Q2 - 2'!AW$1</f>
        <v>How would you rate the Vendor initiative to take mitigation/preventive action to prevent the problem from recurring?3</v>
      </c>
      <c r="D9" s="54" t="n">
        <f aca="false">'RAW DATA Q2 - 2'!AW10</f>
        <v>4</v>
      </c>
    </row>
    <row r="10" customFormat="false" ht="26.85" hidden="false" customHeight="false" outlineLevel="0" collapsed="false">
      <c r="A10" s="52" t="n">
        <v>4</v>
      </c>
      <c r="B10" s="52" t="s">
        <v>269</v>
      </c>
      <c r="C10" s="53" t="str">
        <f aca="false">'RAW DATA Q2 - 2'!AX$1</f>
        <v>How would you rate supplier compliance with administrative processes, including completion of draft cooperation contract?4</v>
      </c>
      <c r="D10" s="54" t="n">
        <f aca="false">'RAW DATA Q2 - 2'!AX10</f>
        <v>3</v>
      </c>
    </row>
    <row r="11" customFormat="false" ht="26.85" hidden="false" customHeight="false" outlineLevel="0" collapsed="false">
      <c r="A11" s="52" t="n">
        <v>5</v>
      </c>
      <c r="B11" s="52" t="s">
        <v>269</v>
      </c>
      <c r="C11" s="53" t="str">
        <f aca="false">'RAW DATA Q2 - 2'!AY$1</f>
        <v>How would you rate the Installation of SAS IFRS17 solution on AXA infrastructure?</v>
      </c>
      <c r="D11" s="54" t="n">
        <f aca="false">'RAW DATA Q2 - 2'!AY10</f>
        <v>3</v>
      </c>
    </row>
    <row r="12" customFormat="false" ht="39.55" hidden="false" customHeight="false" outlineLevel="0" collapsed="false">
      <c r="A12" s="52" t="n">
        <v>6</v>
      </c>
      <c r="B12" s="52" t="s">
        <v>269</v>
      </c>
      <c r="C12" s="53" t="str">
        <f aca="false">'RAW DATA Q2 - 2'!AZ$1</f>
        <v>How would you rate the workshops and finalize functional specification documents that summarize requirements which conducted by the supplier?</v>
      </c>
      <c r="D12" s="54" t="n">
        <f aca="false">'RAW DATA Q2 - 2'!AZ10</f>
        <v>3</v>
      </c>
    </row>
    <row r="13" customFormat="false" ht="26.85" hidden="false" customHeight="false" outlineLevel="0" collapsed="false">
      <c r="A13" s="52" t="n">
        <v>7</v>
      </c>
      <c r="B13" s="52" t="s">
        <v>269</v>
      </c>
      <c r="C13" s="53" t="str">
        <f aca="false">'RAW DATA Q2 - 2'!BA$1</f>
        <v>How would you rate the implementation of an end-to-end solution flow design for SAS IFRS17?</v>
      </c>
      <c r="D13" s="54" t="n">
        <f aca="false">'RAW DATA Q2 - 2'!BA10</f>
        <v>3</v>
      </c>
    </row>
    <row r="14" customFormat="false" ht="26.85" hidden="false" customHeight="false" outlineLevel="0" collapsed="false">
      <c r="A14" s="52" t="n">
        <v>8</v>
      </c>
      <c r="B14" s="52" t="s">
        <v>269</v>
      </c>
      <c r="C14" s="53" t="str">
        <f aca="false">'RAW DATA Q2 - 2'!BB$1</f>
        <v>How would you rate the Implementation of SAS IFRS17solution?
</v>
      </c>
      <c r="D14" s="54" t="n">
        <f aca="false">'RAW DATA Q2 - 2'!BB10</f>
        <v>3</v>
      </c>
    </row>
    <row r="15" customFormat="false" ht="26.85" hidden="false" customHeight="false" outlineLevel="0" collapsed="false">
      <c r="A15" s="52" t="n">
        <v>9</v>
      </c>
      <c r="B15" s="52" t="s">
        <v>269</v>
      </c>
      <c r="C15" s="53" t="str">
        <f aca="false">'RAW DATA Q2 - 2'!BC$1</f>
        <v>How would you rate the End-to-End Calculation Functions which includes:</v>
      </c>
      <c r="D15" s="54" t="n">
        <f aca="false">'RAW DATA Q2 - 2'!BC10</f>
        <v>3</v>
      </c>
    </row>
    <row r="16" customFormat="false" ht="39.55" hidden="false" customHeight="false" outlineLevel="0" collapsed="false">
      <c r="A16" s="52" t="n">
        <v>10</v>
      </c>
      <c r="B16" s="52" t="s">
        <v>269</v>
      </c>
      <c r="C16" s="53" t="str">
        <f aca="false">'RAW DATA Q2 - 2'!BD$1</f>
        <v>How would you rate the PSAK74 Contract Grouping using Data Input and Predefine Rule which generates:
</v>
      </c>
      <c r="D16" s="54" t="n">
        <f aca="false">'RAW DATA Q2 - 2'!BD10</f>
        <v>3</v>
      </c>
    </row>
    <row r="17" customFormat="false" ht="39.55" hidden="false" customHeight="false" outlineLevel="0" collapsed="false">
      <c r="A17" s="52" t="n">
        <v>11</v>
      </c>
      <c r="B17" s="52" t="s">
        <v>269</v>
      </c>
      <c r="C17" s="53" t="str">
        <f aca="false">'RAW DATA Q2 - 2'!BE$1</f>
        <v>How would you rate PSAK74 System implementation on its standard and configurable rule which includes:
</v>
      </c>
      <c r="D17" s="54" t="n">
        <f aca="false">'RAW DATA Q2 - 2'!BE10</f>
        <v>3</v>
      </c>
    </row>
    <row r="18" customFormat="false" ht="15" hidden="false" customHeight="false" outlineLevel="0" collapsed="false">
      <c r="A18" s="52" t="n">
        <v>12</v>
      </c>
      <c r="B18" s="52" t="s">
        <v>269</v>
      </c>
      <c r="C18" s="53" t="str">
        <f aca="false">'RAW DATA Q2 - 2'!BF$1</f>
        <v>How would you rate the currencies and interest rate facilitation?</v>
      </c>
      <c r="D18" s="54" t="n">
        <f aca="false">'RAW DATA Q2 - 2'!BF10</f>
        <v>3</v>
      </c>
    </row>
    <row r="19" customFormat="false" ht="15" hidden="false" customHeight="false" outlineLevel="0" collapsed="false">
      <c r="A19" s="52" t="n">
        <v>13</v>
      </c>
      <c r="B19" s="52" t="s">
        <v>269</v>
      </c>
      <c r="C19" s="53" t="str">
        <f aca="false">'RAW DATA Q2 - 2'!BG$1</f>
        <v>How would you rate the capability to estimate the Initial Recognition?</v>
      </c>
      <c r="D19" s="54" t="n">
        <f aca="false">'RAW DATA Q2 - 2'!BG10</f>
        <v>3</v>
      </c>
    </row>
    <row r="20" customFormat="false" ht="39.55" hidden="false" customHeight="false" outlineLevel="0" collapsed="false">
      <c r="A20" s="52" t="n">
        <v>14</v>
      </c>
      <c r="B20" s="52" t="s">
        <v>269</v>
      </c>
      <c r="C20" s="53" t="str">
        <f aca="false">'RAW DATA Q2 - 2'!BH$1</f>
        <v>How would you rate the capability to estimate GMM/PAA/VFA Approach both direct and reinsurance:
</v>
      </c>
      <c r="D20" s="54" t="n">
        <f aca="false">'RAW DATA Q2 - 2'!BH10</f>
        <v>3</v>
      </c>
    </row>
    <row r="21" customFormat="false" ht="39.55" hidden="false" customHeight="false" outlineLevel="0" collapsed="false">
      <c r="A21" s="52" t="n">
        <v>15</v>
      </c>
      <c r="B21" s="52" t="s">
        <v>269</v>
      </c>
      <c r="C21" s="53" t="str">
        <f aca="false">'RAW DATA Q2 - 2'!BI$1</f>
        <v>How would you rate the capability to do the Allocation on Actual Cash Flow (CF):
</v>
      </c>
      <c r="D21" s="54" t="n">
        <f aca="false">'RAW DATA Q2 - 2'!BI10</f>
        <v>3</v>
      </c>
    </row>
    <row r="22" customFormat="false" ht="39.55" hidden="false" customHeight="false" outlineLevel="0" collapsed="false">
      <c r="A22" s="52" t="n">
        <v>16</v>
      </c>
      <c r="B22" s="52" t="s">
        <v>269</v>
      </c>
      <c r="C22" s="53" t="str">
        <f aca="false">'RAW DATA Q2 - 2'!BJ$1</f>
        <v>How would you rate the capability to generate PSAK74 Disclosure in monthly base:
</v>
      </c>
      <c r="D22" s="54" t="n">
        <f aca="false">'RAW DATA Q2 - 2'!BJ10</f>
        <v>3</v>
      </c>
    </row>
    <row r="23" customFormat="false" ht="39.55" hidden="false" customHeight="false" outlineLevel="0" collapsed="false">
      <c r="A23" s="52" t="n">
        <v>17</v>
      </c>
      <c r="B23" s="52" t="s">
        <v>269</v>
      </c>
      <c r="C23" s="53" t="str">
        <f aca="false">'RAW DATA Q2 - 2'!BK$1</f>
        <v>How would you rate the System Availability, Redundancy, and Overload Protection?
</v>
      </c>
      <c r="D23" s="54" t="n">
        <f aca="false">'RAW DATA Q2 - 2'!BK10</f>
        <v>3</v>
      </c>
    </row>
    <row r="24" customFormat="false" ht="26.85" hidden="false" customHeight="false" outlineLevel="0" collapsed="false">
      <c r="A24" s="52" t="n">
        <v>18</v>
      </c>
      <c r="B24" s="52" t="s">
        <v>269</v>
      </c>
      <c r="C24" s="53" t="str">
        <f aca="false">'RAW DATA Q2 - 2'!BL$1</f>
        <v>How would you rate the Common Security Access?
</v>
      </c>
      <c r="D24" s="54" t="n">
        <f aca="false">'RAW DATA Q2 - 2'!BL10</f>
        <v>3</v>
      </c>
    </row>
    <row r="25" customFormat="false" ht="26.85" hidden="false" customHeight="false" outlineLevel="0" collapsed="false">
      <c r="A25" s="52" t="n">
        <v>19</v>
      </c>
      <c r="B25" s="52" t="s">
        <v>269</v>
      </c>
      <c r="C25" s="53" t="str">
        <f aca="false">'RAW DATA Q2 - 2'!BM$1</f>
        <v>How would you rate the Audit Trail?
</v>
      </c>
      <c r="D25" s="54" t="n">
        <f aca="false">'RAW DATA Q2 - 2'!BM10</f>
        <v>3</v>
      </c>
    </row>
    <row r="26" customFormat="false" ht="39.55" hidden="false" customHeight="false" outlineLevel="0" collapsed="false">
      <c r="A26" s="52" t="n">
        <v>20</v>
      </c>
      <c r="B26" s="52" t="s">
        <v>269</v>
      </c>
      <c r="C26" s="53" t="str">
        <f aca="false">'RAW DATA Q2 - 2'!BN$1</f>
        <v>How would you rate the supplier's service in providing one month warranty support after go-live?
</v>
      </c>
      <c r="D26" s="54" t="n">
        <f aca="false">'RAW DATA Q2 - 2'!BN10</f>
        <v>3</v>
      </c>
    </row>
    <row r="27" customFormat="false" ht="52.2" hidden="false" customHeight="false" outlineLevel="0" collapsed="false">
      <c r="A27" s="52" t="n">
        <v>21</v>
      </c>
      <c r="B27" s="52" t="s">
        <v>269</v>
      </c>
      <c r="C27" s="53" t="str">
        <f aca="false">'RAW DATA Q2 - 2'!BO$1</f>
        <v>How would you rate the supplier's services in conducting three-day user training for SAS IFRS17 solution and conducted one-day system administration training for users?
</v>
      </c>
      <c r="D27" s="54" t="n">
        <f aca="false">'RAW DATA Q2 - 2'!BO10</f>
        <v>3</v>
      </c>
    </row>
    <row r="28" customFormat="false" ht="26.85" hidden="false" customHeight="false" outlineLevel="0" collapsed="false">
      <c r="A28" s="55" t="n">
        <v>22</v>
      </c>
      <c r="B28" s="55" t="s">
        <v>270</v>
      </c>
      <c r="C28" s="56" t="str">
        <f aca="false">'RAW DATA Q2 - 2'!DO$1</f>
        <v>How would you rate the supplier's timeliness in delivering goods/services compared to the agreed-upon timeline?</v>
      </c>
      <c r="D28" s="57" t="n">
        <f aca="false">'RAW DATA Q2 - 2'!DO10</f>
        <v>3</v>
      </c>
    </row>
    <row r="29" customFormat="false" ht="15" hidden="false" customHeight="false" outlineLevel="0" collapsed="false">
      <c r="A29" s="55" t="n">
        <v>23</v>
      </c>
      <c r="B29" s="55" t="s">
        <v>270</v>
      </c>
      <c r="C29" s="56" t="str">
        <f aca="false">'RAW DATA Q2 - 2'!DP$1</f>
        <v>How would you rate the supplier's timeliness in sending reports to you?</v>
      </c>
      <c r="D29" s="57" t="n">
        <f aca="false">'RAW DATA Q2 - 2'!DP10</f>
        <v>3</v>
      </c>
    </row>
    <row r="30" customFormat="false" ht="26.85" hidden="false" customHeight="false" outlineLevel="0" collapsed="false">
      <c r="A30" s="55" t="n">
        <v>24</v>
      </c>
      <c r="B30" s="55" t="s">
        <v>270</v>
      </c>
      <c r="C30" s="56" t="str">
        <f aca="false">'RAW DATA Q2 - 2'!DQ$1</f>
        <v>How would you rate the supplier's speed ​​of administrative completion, including completion of contracts draft?</v>
      </c>
      <c r="D30" s="57" t="n">
        <f aca="false">'RAW DATA Q2 - 2'!DQ10</f>
        <v>3</v>
      </c>
    </row>
    <row r="31" customFormat="false" ht="15" hidden="false" customHeight="false" outlineLevel="0" collapsed="false">
      <c r="A31" s="58" t="n">
        <v>25</v>
      </c>
      <c r="B31" s="58" t="s">
        <v>271</v>
      </c>
      <c r="C31" s="59" t="str">
        <f aca="false">'RAW DATA Q2 - 2'!FM$1</f>
        <v>How would you rate the supplier's communication with you?</v>
      </c>
      <c r="D31" s="60" t="n">
        <f aca="false">'RAW DATA Q2 - 2'!FM10</f>
        <v>4</v>
      </c>
    </row>
    <row r="32" customFormat="false" ht="26.85" hidden="false" customHeight="false" outlineLevel="0" collapsed="false">
      <c r="A32" s="58" t="n">
        <v>26</v>
      </c>
      <c r="B32" s="58" t="s">
        <v>271</v>
      </c>
      <c r="C32" s="59" t="str">
        <f aca="false">'RAW DATA Q2 - 2'!FN$1</f>
        <v>How would you rate the supplier's PIC's availability to be contacted when needed?</v>
      </c>
      <c r="D32" s="60" t="n">
        <f aca="false">'RAW DATA Q2 - 2'!FN10</f>
        <v>4</v>
      </c>
    </row>
    <row r="33" customFormat="false" ht="39.55" hidden="false" customHeight="false" outlineLevel="0" collapsed="false">
      <c r="A33" s="58" t="n">
        <v>27</v>
      </c>
      <c r="B33" s="58" t="s">
        <v>271</v>
      </c>
      <c r="C33" s="59" t="str">
        <f aca="false">'RAW DATA Q2 - 2'!FO$1</f>
        <v>How would you rate the supplier's response speed to you when there are issues?
</v>
      </c>
      <c r="D33" s="60" t="n">
        <f aca="false">'RAW DATA Q2 - 2'!FO10</f>
        <v>4</v>
      </c>
    </row>
    <row r="35" customFormat="false" ht="15" hidden="false" customHeight="false" outlineLevel="0" collapsed="false">
      <c r="A35" s="50" t="s">
        <v>272</v>
      </c>
      <c r="B35" s="61" t="n">
        <f aca="false">AVERAGEIF(B7:B33,"Quality",D7:D33)</f>
        <v>3.0952380952381</v>
      </c>
    </row>
    <row r="36" customFormat="false" ht="15" hidden="false" customHeight="false" outlineLevel="0" collapsed="false">
      <c r="A36" s="50" t="s">
        <v>273</v>
      </c>
      <c r="B36" s="61" t="n">
        <f aca="false">AVERAGEIF(B7:B33,"Timeline",D7:D33)</f>
        <v>3</v>
      </c>
    </row>
    <row r="37" customFormat="false" ht="15" hidden="false" customHeight="false" outlineLevel="0" collapsed="false">
      <c r="A37" s="50" t="s">
        <v>274</v>
      </c>
      <c r="B37" s="61" t="n">
        <f aca="false">AVERAGEIF(B7:B33,"Relationship",D7:D33)</f>
        <v>4</v>
      </c>
    </row>
    <row r="38" customFormat="false" ht="15" hidden="false" customHeight="false" outlineLevel="0" collapsed="false">
      <c r="A38" s="50" t="s">
        <v>275</v>
      </c>
      <c r="B38" s="62" t="n">
        <f aca="false">B35*0.35+B36*0.35+B37*0.3</f>
        <v>3.33333333333333</v>
      </c>
    </row>
    <row r="39" customFormat="false" ht="15" hidden="false" customHeight="false" outlineLevel="0" collapsed="false">
      <c r="A39" s="50" t="s">
        <v>276</v>
      </c>
      <c r="B39" s="50" t="str">
        <f aca="false">IF(B38&gt;4.99,"Exceptional",IF(B38&gt;3.99,"Exceed Expectation",IF(B38&gt;=2.99,"Meet Expectation",IF(B38&gt;1.9,"Below Expectation","Unsatisfactory"))))</f>
        <v>Meet Expectation</v>
      </c>
    </row>
    <row r="41" customFormat="false" ht="15" hidden="false" customHeight="false" outlineLevel="0" collapsed="false">
      <c r="A41" s="63" t="s">
        <v>277</v>
      </c>
    </row>
    <row r="42" customFormat="false" ht="15" hidden="false" customHeight="false" outlineLevel="0" collapsed="false">
      <c r="A42" s="46" t="s">
        <v>278</v>
      </c>
      <c r="B42" s="64" t="str">
        <f aca="false">'RAW DATA Q2 - 2'!FP10</f>
        <v>Yes</v>
      </c>
    </row>
    <row r="43" customFormat="false" ht="15" hidden="false" customHeight="false" outlineLevel="0" collapsed="false">
      <c r="A43" s="46" t="s">
        <v>279</v>
      </c>
      <c r="B43" s="64" t="str">
        <f aca="false">'RAW DATA Q2 - 2'!FQ10</f>
        <v>Yes</v>
      </c>
    </row>
    <row r="44" customFormat="false" ht="15" hidden="false" customHeight="false" outlineLevel="0" collapsed="false">
      <c r="A44" s="46" t="s">
        <v>280</v>
      </c>
      <c r="B44" s="64" t="str">
        <f aca="false">'RAW DATA Q2 - 2'!FR10</f>
        <v>No Implementation</v>
      </c>
    </row>
    <row r="45" customFormat="false" ht="15" hidden="false" customHeight="false" outlineLevel="0" collapsed="false">
      <c r="A45" s="46" t="s">
        <v>281</v>
      </c>
      <c r="B45" s="64" t="str">
        <f aca="false">'RAW DATA Q2 - 2'!FS10</f>
        <v>No Implementation</v>
      </c>
    </row>
    <row r="46" customFormat="false" ht="15" hidden="false" customHeight="false" outlineLevel="0" collapsed="false">
      <c r="A46" s="46" t="s">
        <v>282</v>
      </c>
      <c r="B46" s="64" t="str">
        <f aca="false">'RAW DATA Q2 - 2'!FT10</f>
        <v>No Implementation</v>
      </c>
    </row>
    <row r="47" customFormat="false" ht="28.35" hidden="false" customHeight="false" outlineLevel="0" collapsed="false">
      <c r="A47" s="46" t="s">
        <v>283</v>
      </c>
      <c r="B47" s="64" t="str">
        <f aca="false">'RAW DATA Q2 - 2'!FU10</f>
        <v>No – No action items were required</v>
      </c>
    </row>
    <row r="49" customFormat="false" ht="15" hidden="false" customHeight="false" outlineLevel="0" collapsed="false">
      <c r="A49" s="63" t="s">
        <v>284</v>
      </c>
    </row>
    <row r="50" customFormat="false" ht="15" hidden="false" customHeight="false" outlineLevel="0" collapsed="false">
      <c r="B50" s="65" t="str">
        <f aca="false">'RAW DATA Q2 - 2'!FV10</f>
        <v>no feedback</v>
      </c>
      <c r="C50" s="65"/>
      <c r="D50" s="65"/>
    </row>
  </sheetData>
  <mergeCells count="2">
    <mergeCell ref="A1:D1"/>
    <mergeCell ref="B50:D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242</v>
      </c>
    </row>
    <row r="3" customFormat="false" ht="15" hidden="false" customHeight="false" outlineLevel="0" collapsed="false">
      <c r="A3" s="50" t="s">
        <v>29</v>
      </c>
      <c r="B3" s="46" t="s">
        <v>243</v>
      </c>
    </row>
    <row r="4" customFormat="false" ht="15" hidden="false" customHeight="false" outlineLevel="0" collapsed="false">
      <c r="A4" s="50" t="s">
        <v>266</v>
      </c>
      <c r="B4" s="46" t="s">
        <v>244</v>
      </c>
    </row>
    <row r="5" customFormat="false" ht="15" hidden="false" customHeight="false" outlineLevel="0" collapsed="false">
      <c r="A5" s="50" t="s">
        <v>286</v>
      </c>
      <c r="B5" s="46" t="s">
        <v>293</v>
      </c>
    </row>
    <row r="7" customFormat="false" ht="15" hidden="false" customHeight="false" outlineLevel="0" collapsed="false">
      <c r="A7" s="51" t="s">
        <v>52</v>
      </c>
      <c r="B7" s="51" t="s">
        <v>267</v>
      </c>
      <c r="C7" s="51" t="s">
        <v>268</v>
      </c>
      <c r="D7" s="51" t="s">
        <v>37</v>
      </c>
    </row>
    <row r="8" customFormat="false" ht="26.85" hidden="false" customHeight="false" outlineLevel="0" collapsed="false">
      <c r="A8" s="52" t="n">
        <v>1</v>
      </c>
      <c r="B8" s="52" t="s">
        <v>269</v>
      </c>
      <c r="C8" s="53" t="str">
        <f aca="false">'RAW DATA Q2 - 2'!BV$1</f>
        <v>How would you rate the Supplier’s ability to deliver Policy Printing Services SLA?</v>
      </c>
      <c r="D8" s="54" t="n">
        <f aca="false">'RAW DATA Q2 - 2'!BV9</f>
        <v>4</v>
      </c>
    </row>
    <row r="9" customFormat="false" ht="26.85" hidden="false" customHeight="false" outlineLevel="0" collapsed="false">
      <c r="A9" s="52" t="n">
        <v>2</v>
      </c>
      <c r="B9" s="52" t="s">
        <v>269</v>
      </c>
      <c r="C9" s="53" t="str">
        <f aca="false">'RAW DATA Q2 - 2'!BW$1</f>
        <v>Printed policy documents met the agreed material specifications for each policy type?</v>
      </c>
      <c r="D9" s="54" t="n">
        <f aca="false">'RAW DATA Q2 - 2'!BW9</f>
        <v>4</v>
      </c>
    </row>
    <row r="10" customFormat="false" ht="39.55" hidden="false" customHeight="false" outlineLevel="0" collapsed="false">
      <c r="A10" s="52" t="n">
        <v>3</v>
      </c>
      <c r="B10" s="52" t="s">
        <v>269</v>
      </c>
      <c r="C10" s="53" t="str">
        <f aca="false">'RAW DATA Q2 - 2'!BX$1</f>
        <v>How would you rate overall quality of Letter Printing services which includes:
</v>
      </c>
      <c r="D10" s="54" t="n">
        <f aca="false">'RAW DATA Q2 - 2'!BX9</f>
        <v>4</v>
      </c>
    </row>
    <row r="11" customFormat="false" ht="39.55" hidden="false" customHeight="false" outlineLevel="0" collapsed="false">
      <c r="A11" s="52" t="n">
        <v>4</v>
      </c>
      <c r="B11" s="52" t="s">
        <v>269</v>
      </c>
      <c r="C11" s="53" t="str">
        <f aca="false">'RAW DATA Q2 - 2'!BY$1</f>
        <v>How would you rate the overall quality of Training Material Printing service which includes:
</v>
      </c>
      <c r="D11" s="54" t="n">
        <f aca="false">'RAW DATA Q2 - 2'!BY9</f>
        <v>4</v>
      </c>
    </row>
    <row r="12" customFormat="false" ht="52.2" hidden="false" customHeight="false" outlineLevel="0" collapsed="false">
      <c r="A12" s="52" t="n">
        <v>5</v>
      </c>
      <c r="B12" s="52" t="s">
        <v>269</v>
      </c>
      <c r="C12" s="53" t="str">
        <f aca="false">'RAW DATA Q2 - 2'!BZ$1</f>
        <v>How would you rate the Data Capture quality control which should be performed at 100% volume (not random/sample check) for all required QC fields
</v>
      </c>
      <c r="D12" s="54" t="n">
        <f aca="false">'RAW DATA Q2 - 2'!BZ9</f>
        <v>4</v>
      </c>
    </row>
    <row r="13" customFormat="false" ht="39.55" hidden="false" customHeight="false" outlineLevel="0" collapsed="false">
      <c r="A13" s="52" t="n">
        <v>6</v>
      </c>
      <c r="B13" s="52" t="s">
        <v>269</v>
      </c>
      <c r="C13" s="53" t="str">
        <f aca="false">'RAW DATA Q2 - 2'!CA$1</f>
        <v>How would you rate the Data Capture quality control which should be performed at 100% volume (not random/sample check) for all required QC fields?</v>
      </c>
      <c r="D13" s="54" t="n">
        <f aca="false">'RAW DATA Q2 - 2'!CA9</f>
        <v>4</v>
      </c>
    </row>
    <row r="14" customFormat="false" ht="26.85" hidden="false" customHeight="false" outlineLevel="0" collapsed="false">
      <c r="A14" s="55" t="n">
        <v>7</v>
      </c>
      <c r="B14" s="55" t="s">
        <v>270</v>
      </c>
      <c r="C14" s="56" t="str">
        <f aca="false">'RAW DATA Q2 - 2'!CB$1</f>
        <v>Daily and monthly operational reports were submitted completely, accurately, and on time.</v>
      </c>
      <c r="D14" s="57" t="n">
        <f aca="false">'RAW DATA Q2 - 2'!CB9</f>
        <v>4</v>
      </c>
    </row>
    <row r="15" customFormat="false" ht="26.85" hidden="false" customHeight="false" outlineLevel="0" collapsed="false">
      <c r="A15" s="52" t="n">
        <v>8</v>
      </c>
      <c r="B15" s="52" t="s">
        <v>269</v>
      </c>
      <c r="C15" s="53" t="str">
        <f aca="false">'RAW DATA Q2 - 2'!CC$1</f>
        <v>How would you rate the Data Maintenance, Data Security, and Access Control which includes:</v>
      </c>
      <c r="D15" s="54" t="n">
        <f aca="false">'RAW DATA Q2 - 2'!CC9</f>
        <v>4</v>
      </c>
    </row>
    <row r="16" customFormat="false" ht="26.85" hidden="false" customHeight="false" outlineLevel="0" collapsed="false">
      <c r="A16" s="52" t="n">
        <v>9</v>
      </c>
      <c r="B16" s="52" t="s">
        <v>269</v>
      </c>
      <c r="C16" s="53" t="str">
        <f aca="false">'RAW DATA Q2 - 2'!CD$1</f>
        <v>How would you rate the Recovery Process in the Event of Hardware/Software Failure which includes:</v>
      </c>
      <c r="D16" s="54" t="n">
        <f aca="false">'RAW DATA Q2 - 2'!CD9</f>
        <v>4</v>
      </c>
    </row>
    <row r="17" customFormat="false" ht="26.85" hidden="false" customHeight="false" outlineLevel="0" collapsed="false">
      <c r="A17" s="52" t="n">
        <v>10</v>
      </c>
      <c r="B17" s="52" t="s">
        <v>269</v>
      </c>
      <c r="C17" s="53" t="str">
        <f aca="false">'RAW DATA Q2 - 2'!CE$1</f>
        <v>How would you rate overall Document Management Center service?
</v>
      </c>
      <c r="D17" s="54" t="n">
        <f aca="false">'RAW DATA Q2 - 2'!CE9</f>
        <v>4</v>
      </c>
    </row>
    <row r="18" customFormat="false" ht="26.85" hidden="false" customHeight="false" outlineLevel="0" collapsed="false">
      <c r="A18" s="55" t="n">
        <v>11</v>
      </c>
      <c r="B18" s="55" t="s">
        <v>270</v>
      </c>
      <c r="C18" s="56" t="str">
        <f aca="false">'RAW DATA Q2 - 2'!DR$1</f>
        <v>Policy printing was completed within the agreed H0 → H1 → H3 delivery timeline</v>
      </c>
      <c r="D18" s="57" t="n">
        <f aca="false">'RAW DATA Q2 - 2'!DR9</f>
        <v>4</v>
      </c>
    </row>
    <row r="19" customFormat="false" ht="26.85" hidden="false" customHeight="false" outlineLevel="0" collapsed="false">
      <c r="A19" s="55" t="n">
        <v>12</v>
      </c>
      <c r="B19" s="55" t="s">
        <v>270</v>
      </c>
      <c r="C19" s="56" t="str">
        <f aca="false">'RAW DATA Q2 - 2'!DS$1</f>
        <v>Letter printing (Cetak Surat) was completed within H+2 from AMFS approval of the print data file.</v>
      </c>
      <c r="D19" s="57" t="n">
        <f aca="false">'RAW DATA Q2 - 2'!DS9</f>
        <v>4</v>
      </c>
    </row>
    <row r="20" customFormat="false" ht="26.85" hidden="false" customHeight="false" outlineLevel="0" collapsed="false">
      <c r="A20" s="55" t="n">
        <v>13</v>
      </c>
      <c r="B20" s="55" t="s">
        <v>270</v>
      </c>
      <c r="C20" s="56" t="str">
        <f aca="false">'RAW DATA Q2 - 2'!DT$1</f>
        <v>Training material printing (Cetak Dokumen Materi Training) was completed within all three agreed SLA phases</v>
      </c>
      <c r="D20" s="57" t="n">
        <f aca="false">'RAW DATA Q2 - 2'!DT9</f>
        <v>4</v>
      </c>
    </row>
    <row r="21" customFormat="false" ht="26.85" hidden="false" customHeight="false" outlineLevel="0" collapsed="false">
      <c r="A21" s="55" t="n">
        <v>14</v>
      </c>
      <c r="B21" s="55" t="s">
        <v>270</v>
      </c>
      <c r="C21" s="56" t="str">
        <f aca="false">'RAW DATA Q2 - 2'!DU$1</f>
        <v>New Business data was uploaded to RLS within the agreed daily cut-off schedule</v>
      </c>
      <c r="D21" s="57" t="n">
        <f aca="false">'RAW DATA Q2 - 2'!DU9</f>
        <v>4</v>
      </c>
    </row>
    <row r="22" customFormat="false" ht="26.85" hidden="false" customHeight="false" outlineLevel="0" collapsed="false">
      <c r="A22" s="55" t="n">
        <v>15</v>
      </c>
      <c r="B22" s="55" t="s">
        <v>270</v>
      </c>
      <c r="C22" s="56" t="str">
        <f aca="false">'RAW DATA Q2 - 2'!DV$1</f>
        <v>POS and Claim documents were scanned, indexed, and uploaded on the same day within the agreed scanning SLA window</v>
      </c>
      <c r="D22" s="57" t="n">
        <f aca="false">'RAW DATA Q2 - 2'!DV9</f>
        <v>4</v>
      </c>
    </row>
    <row r="23" customFormat="false" ht="26.85" hidden="false" customHeight="false" outlineLevel="0" collapsed="false">
      <c r="A23" s="55" t="n">
        <v>16</v>
      </c>
      <c r="B23" s="55" t="s">
        <v>270</v>
      </c>
      <c r="C23" s="56" t="str">
        <f aca="false">'RAW DATA Q2 - 2'!DW$1</f>
        <v>Physical document retrieval requests from AMFS were fulfilled within 2 working days</v>
      </c>
      <c r="D23" s="57" t="n">
        <f aca="false">'RAW DATA Q2 - 2'!DW9</f>
        <v>4</v>
      </c>
    </row>
    <row r="24" customFormat="false" ht="26.85" hidden="false" customHeight="false" outlineLevel="0" collapsed="false">
      <c r="A24" s="55" t="n">
        <v>17</v>
      </c>
      <c r="B24" s="55" t="s">
        <v>270</v>
      </c>
      <c r="C24" s="56" t="str">
        <f aca="false">'RAW DATA Q2 - 2'!DX$1</f>
        <v>The supplier consistently met late delivery penalty thresholds and did not trigger the escalated penalty clause for policy printing</v>
      </c>
      <c r="D24" s="57" t="n">
        <f aca="false">'RAW DATA Q2 - 2'!DX9</f>
        <v>4</v>
      </c>
    </row>
    <row r="25" customFormat="false" ht="26.85" hidden="false" customHeight="false" outlineLevel="0" collapsed="false">
      <c r="A25" s="55" t="n">
        <v>18</v>
      </c>
      <c r="B25" s="55" t="s">
        <v>270</v>
      </c>
      <c r="C25" s="56" t="str">
        <f aca="false">'RAW DATA Q2 - 2'!DY$1</f>
        <v>The supplier proactively communicated whenever daily SLA targets or processing volumes were at risk of not being met.</v>
      </c>
      <c r="D25" s="57" t="n">
        <f aca="false">'RAW DATA Q2 - 2'!DY9</f>
        <v>4</v>
      </c>
    </row>
    <row r="26" customFormat="false" ht="15" hidden="false" customHeight="false" outlineLevel="0" collapsed="false">
      <c r="A26" s="58" t="n">
        <v>19</v>
      </c>
      <c r="B26" s="58" t="s">
        <v>271</v>
      </c>
      <c r="C26" s="59" t="str">
        <f aca="false">'RAW DATA Q2 - 2'!FM$1</f>
        <v>How would you rate the supplier's communication with you?</v>
      </c>
      <c r="D26" s="60" t="n">
        <f aca="false">'RAW DATA Q2 - 2'!FM9</f>
        <v>5</v>
      </c>
    </row>
    <row r="27" customFormat="false" ht="26.85" hidden="false" customHeight="false" outlineLevel="0" collapsed="false">
      <c r="A27" s="58" t="n">
        <v>20</v>
      </c>
      <c r="B27" s="58" t="s">
        <v>271</v>
      </c>
      <c r="C27" s="59" t="str">
        <f aca="false">'RAW DATA Q2 - 2'!FN$1</f>
        <v>How would you rate the supplier's PIC's availability to be contacted when needed?</v>
      </c>
      <c r="D27" s="60" t="n">
        <f aca="false">'RAW DATA Q2 - 2'!FN9</f>
        <v>5</v>
      </c>
    </row>
    <row r="28" customFormat="false" ht="39.55" hidden="false" customHeight="false" outlineLevel="0" collapsed="false">
      <c r="A28" s="58" t="n">
        <v>21</v>
      </c>
      <c r="B28" s="58" t="s">
        <v>271</v>
      </c>
      <c r="C28" s="59" t="str">
        <f aca="false">'RAW DATA Q2 - 2'!FO$1</f>
        <v>How would you rate the supplier's response speed to you when there are issues?
</v>
      </c>
      <c r="D28" s="60" t="n">
        <f aca="false">'RAW DATA Q2 - 2'!FO9</f>
        <v>5</v>
      </c>
    </row>
    <row r="30" customFormat="false" ht="15" hidden="false" customHeight="false" outlineLevel="0" collapsed="false">
      <c r="A30" s="50" t="s">
        <v>272</v>
      </c>
      <c r="B30" s="61" t="n">
        <f aca="false">AVERAGEIF(B8:B28,"Quality",D8:D28)</f>
        <v>4</v>
      </c>
    </row>
    <row r="31" customFormat="false" ht="15" hidden="false" customHeight="false" outlineLevel="0" collapsed="false">
      <c r="A31" s="50" t="s">
        <v>273</v>
      </c>
      <c r="B31" s="61" t="n">
        <f aca="false">AVERAGEIF(B8:B28,"Timeline",D8:D28)</f>
        <v>4</v>
      </c>
    </row>
    <row r="32" customFormat="false" ht="15" hidden="false" customHeight="false" outlineLevel="0" collapsed="false">
      <c r="A32" s="50" t="s">
        <v>274</v>
      </c>
      <c r="B32" s="61" t="n">
        <f aca="false">AVERAGEIF(B8:B28,"Relationship",D8:D28)</f>
        <v>5</v>
      </c>
    </row>
    <row r="33" customFormat="false" ht="15" hidden="false" customHeight="false" outlineLevel="0" collapsed="false">
      <c r="A33" s="50" t="s">
        <v>275</v>
      </c>
      <c r="B33" s="62" t="n">
        <f aca="false">B30*0.35+B31*0.35+B32*0.3</f>
        <v>4.3</v>
      </c>
    </row>
    <row r="34" customFormat="false" ht="15" hidden="false" customHeight="false" outlineLevel="0" collapsed="false">
      <c r="A34" s="50" t="s">
        <v>276</v>
      </c>
      <c r="B34" s="50" t="str">
        <f aca="false">IF(B33&gt;4.99,"Exceptional",IF(B33&gt;3.99,"Exceed Expectation",IF(B33&gt;=2.99,"Meet Expectation",IF(B33&gt;1.9,"Below Expectation","Unsatisfactory"))))</f>
        <v>Exceed Expectation</v>
      </c>
    </row>
    <row r="36" customFormat="false" ht="15" hidden="false" customHeight="false" outlineLevel="0" collapsed="false">
      <c r="A36" s="63" t="s">
        <v>277</v>
      </c>
    </row>
    <row r="37" customFormat="false" ht="15" hidden="false" customHeight="false" outlineLevel="0" collapsed="false">
      <c r="A37" s="46" t="s">
        <v>278</v>
      </c>
      <c r="B37" s="64" t="str">
        <f aca="false">'RAW DATA Q2 - 2'!FP9</f>
        <v>Yes</v>
      </c>
    </row>
    <row r="38" customFormat="false" ht="15" hidden="false" customHeight="false" outlineLevel="0" collapsed="false">
      <c r="A38" s="46" t="s">
        <v>279</v>
      </c>
      <c r="B38" s="64" t="str">
        <f aca="false">'RAW DATA Q2 - 2'!FQ9</f>
        <v>Yes</v>
      </c>
    </row>
    <row r="39" customFormat="false" ht="41.75" hidden="false" customHeight="false" outlineLevel="0" collapsed="false">
      <c r="A39" s="46" t="s">
        <v>280</v>
      </c>
      <c r="B39" s="64" t="str">
        <f aca="false">'RAW DATA Q2 - 2'!FR9</f>
        <v>Yes, DPIA completed and there are actions to be done by Project Owner</v>
      </c>
    </row>
    <row r="40" customFormat="false" ht="15" hidden="false" customHeight="false" outlineLevel="0" collapsed="false">
      <c r="A40" s="46" t="s">
        <v>281</v>
      </c>
      <c r="B40" s="64" t="str">
        <f aca="false">'RAW DATA Q2 - 2'!FS9</f>
        <v>Yes, DPSQ completed</v>
      </c>
    </row>
    <row r="41" customFormat="false" ht="41.75" hidden="false" customHeight="false" outlineLevel="0" collapsed="false">
      <c r="A41" s="46" t="s">
        <v>282</v>
      </c>
      <c r="B41" s="64" t="str">
        <f aca="false">'RAW DATA Q2 - 2'!FT9</f>
        <v>Yes, VSDDT completed and there are actions to be done by supplier</v>
      </c>
    </row>
    <row r="42" customFormat="false" ht="55.2" hidden="false" customHeight="false" outlineLevel="0" collapsed="false">
      <c r="A42" s="46" t="s">
        <v>283</v>
      </c>
      <c r="B42" s="64" t="str">
        <f aca="false">'RAW DATA Q2 - 2'!FU9</f>
        <v>Yes – All action items have been completed and coordinated with relevant SME</v>
      </c>
    </row>
    <row r="44" customFormat="false" ht="15" hidden="false" customHeight="false" outlineLevel="0" collapsed="false">
      <c r="A44" s="63" t="s">
        <v>284</v>
      </c>
    </row>
    <row r="45" customFormat="false" ht="15" hidden="false" customHeight="false" outlineLevel="0" collapsed="false">
      <c r="B45" s="65" t="str">
        <f aca="false">'RAW DATA Q2 - 2'!FV9</f>
        <v>Improvements to their latest Technology to support process at AXA </v>
      </c>
      <c r="C45" s="65"/>
      <c r="D45" s="65"/>
    </row>
  </sheetData>
  <mergeCells count="2">
    <mergeCell ref="A1:D1"/>
    <mergeCell ref="B45:D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246</v>
      </c>
    </row>
    <row r="3" customFormat="false" ht="15" hidden="false" customHeight="false" outlineLevel="0" collapsed="false">
      <c r="A3" s="50" t="s">
        <v>29</v>
      </c>
      <c r="B3" s="46" t="s">
        <v>247</v>
      </c>
    </row>
    <row r="4" customFormat="false" ht="15" hidden="false" customHeight="false" outlineLevel="0" collapsed="false">
      <c r="A4" s="50" t="s">
        <v>266</v>
      </c>
      <c r="B4" s="46" t="s">
        <v>248</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Q2 - 2'!AJ$1</f>
        <v>How would you rate the services provided by the Supplier against the agreed standards</v>
      </c>
      <c r="D7" s="54" t="n">
        <f aca="false">'RAW DATA Q2 - 2'!AJ11</f>
        <v>5</v>
      </c>
    </row>
    <row r="8" customFormat="false" ht="15" hidden="false" customHeight="false" outlineLevel="0" collapsed="false">
      <c r="A8" s="52" t="n">
        <v>2</v>
      </c>
      <c r="B8" s="52" t="s">
        <v>269</v>
      </c>
      <c r="C8" s="53" t="str">
        <f aca="false">'RAW DATA Q2 - 2'!AK$1</f>
        <v>How would you rate the accuracy of the data in the Supplier's reports?1</v>
      </c>
      <c r="D8" s="54" t="n">
        <f aca="false">'RAW DATA Q2 - 2'!AK11</f>
        <v>5</v>
      </c>
    </row>
    <row r="9" customFormat="false" ht="26.85" hidden="false" customHeight="false" outlineLevel="0" collapsed="false">
      <c r="A9" s="52" t="n">
        <v>3</v>
      </c>
      <c r="B9" s="52" t="s">
        <v>269</v>
      </c>
      <c r="C9" s="53" t="str">
        <f aca="false">'RAW DATA Q2 - 2'!AL$1</f>
        <v>How would you rate overall quality of the work reports provided by the Supplier?1</v>
      </c>
      <c r="D9" s="54" t="n">
        <f aca="false">'RAW DATA Q2 - 2'!AL11</f>
        <v>4</v>
      </c>
    </row>
    <row r="10" customFormat="false" ht="15" hidden="false" customHeight="false" outlineLevel="0" collapsed="false">
      <c r="A10" s="52" t="n">
        <v>4</v>
      </c>
      <c r="B10" s="52" t="s">
        <v>269</v>
      </c>
      <c r="C10" s="53" t="str">
        <f aca="false">'RAW DATA Q2 - 2'!AM$1</f>
        <v>How would you rate the solutions provided when there is trouble?2</v>
      </c>
      <c r="D10" s="54" t="n">
        <f aca="false">'RAW DATA Q2 - 2'!AM11</f>
        <v>3</v>
      </c>
    </row>
    <row r="11" customFormat="false" ht="26.85" hidden="false" customHeight="false" outlineLevel="0" collapsed="false">
      <c r="A11" s="52" t="n">
        <v>5</v>
      </c>
      <c r="B11" s="52" t="s">
        <v>269</v>
      </c>
      <c r="C11" s="53" t="str">
        <f aca="false">'RAW DATA Q2 - 2'!AN$1</f>
        <v>How would you rate the vendor initiative to take mitigation/preventive action to prevent the problem from recurring?2</v>
      </c>
      <c r="D11" s="54" t="n">
        <f aca="false">'RAW DATA Q2 - 2'!AN11</f>
        <v>3</v>
      </c>
    </row>
    <row r="12" customFormat="false" ht="26.85" hidden="false" customHeight="false" outlineLevel="0" collapsed="false">
      <c r="A12" s="52" t="n">
        <v>6</v>
      </c>
      <c r="B12" s="52" t="s">
        <v>269</v>
      </c>
      <c r="C12" s="53" t="str">
        <f aca="false">'RAW DATA Q2 - 2'!AO$1</f>
        <v>How would you rate supplier compliance with administrative processes, including completion of draft cooperation contract?3</v>
      </c>
      <c r="D12" s="54" t="n">
        <f aca="false">'RAW DATA Q2 - 2'!AO11</f>
        <v>5</v>
      </c>
    </row>
    <row r="13" customFormat="false" ht="39.55" hidden="false" customHeight="false" outlineLevel="0" collapsed="false">
      <c r="A13" s="52" t="n">
        <v>7</v>
      </c>
      <c r="B13" s="52" t="s">
        <v>269</v>
      </c>
      <c r="C13" s="53" t="str">
        <f aca="false">'RAW DATA Q2 - 2'!AP$1</f>
        <v>How would you rate the supplier's service in providing training materials in accordance with:
</v>
      </c>
      <c r="D13" s="54" t="n">
        <f aca="false">'RAW DATA Q2 - 2'!AP11</f>
        <v>5</v>
      </c>
    </row>
    <row r="14" customFormat="false" ht="39.55" hidden="false" customHeight="false" outlineLevel="0" collapsed="false">
      <c r="A14" s="52" t="n">
        <v>8</v>
      </c>
      <c r="B14" s="52" t="s">
        <v>269</v>
      </c>
      <c r="C14" s="53" t="str">
        <f aca="false">'RAW DATA Q2 - 2'!AQ$1</f>
        <v>How would you rate the supplier's service in creating a discussion session that covers current conditions, understanding objectives, and discussions using specific cases from the training material wit</v>
      </c>
      <c r="D14" s="54" t="n">
        <f aca="false">'RAW DATA Q2 - 2'!AQ11</f>
        <v>3</v>
      </c>
    </row>
    <row r="15" customFormat="false" ht="39.55" hidden="false" customHeight="false" outlineLevel="0" collapsed="false">
      <c r="A15" s="52" t="n">
        <v>9</v>
      </c>
      <c r="B15" s="52" t="s">
        <v>269</v>
      </c>
      <c r="C15" s="53" t="str">
        <f aca="false">'RAW DATA Q2 - 2'!AR$1</f>
        <v>How would you rate the supplier's service in conducting 1 (one) session of Data Privacy and Protection awareness training sessions for AXA and its related business units, along with a post-test.</v>
      </c>
      <c r="D15" s="54" t="n">
        <f aca="false">'RAW DATA Q2 - 2'!AR11</f>
        <v>5</v>
      </c>
    </row>
    <row r="16" customFormat="false" ht="26.85" hidden="false" customHeight="false" outlineLevel="0" collapsed="false">
      <c r="A16" s="52" t="n">
        <v>10</v>
      </c>
      <c r="B16" s="52" t="s">
        <v>269</v>
      </c>
      <c r="C16" s="53" t="str">
        <f aca="false">'RAW DATA Q2 - 2'!AS$1</f>
        <v>How would you rate the supplier's response time for service issues?
</v>
      </c>
      <c r="D16" s="54" t="n">
        <f aca="false">'RAW DATA Q2 - 2'!AS11</f>
        <v>4</v>
      </c>
    </row>
    <row r="17" customFormat="false" ht="39.55" hidden="false" customHeight="false" outlineLevel="0" collapsed="false">
      <c r="A17" s="52" t="n">
        <v>11</v>
      </c>
      <c r="B17" s="52" t="s">
        <v>269</v>
      </c>
      <c r="C17" s="53" t="str">
        <f aca="false">'RAW DATA Q2 - 2'!AT$1</f>
        <v>How would you rate the supplier's project management &amp; management report?
</v>
      </c>
      <c r="D17" s="54" t="n">
        <f aca="false">'RAW DATA Q2 - 2'!AT11</f>
        <v>4</v>
      </c>
    </row>
    <row r="18" customFormat="false" ht="26.85" hidden="false" customHeight="false" outlineLevel="0" collapsed="false">
      <c r="A18" s="55" t="n">
        <v>12</v>
      </c>
      <c r="B18" s="55" t="s">
        <v>270</v>
      </c>
      <c r="C18" s="56" t="str">
        <f aca="false">'RAW DATA Q2 - 2'!DO$1</f>
        <v>How would you rate the supplier's timeliness in delivering goods/services compared to the agreed-upon timeline?</v>
      </c>
      <c r="D18" s="57" t="n">
        <f aca="false">'RAW DATA Q2 - 2'!DO11</f>
        <v>4</v>
      </c>
    </row>
    <row r="19" customFormat="false" ht="15" hidden="false" customHeight="false" outlineLevel="0" collapsed="false">
      <c r="A19" s="55" t="n">
        <v>13</v>
      </c>
      <c r="B19" s="55" t="s">
        <v>270</v>
      </c>
      <c r="C19" s="56" t="str">
        <f aca="false">'RAW DATA Q2 - 2'!DP$1</f>
        <v>How would you rate the supplier's timeliness in sending reports to you?</v>
      </c>
      <c r="D19" s="57" t="n">
        <f aca="false">'RAW DATA Q2 - 2'!DP11</f>
        <v>4</v>
      </c>
    </row>
    <row r="20" customFormat="false" ht="26.85" hidden="false" customHeight="false" outlineLevel="0" collapsed="false">
      <c r="A20" s="55" t="n">
        <v>14</v>
      </c>
      <c r="B20" s="55" t="s">
        <v>270</v>
      </c>
      <c r="C20" s="56" t="str">
        <f aca="false">'RAW DATA Q2 - 2'!DQ$1</f>
        <v>How would you rate the supplier's speed ​​of administrative completion, including completion of contracts draft?</v>
      </c>
      <c r="D20" s="57" t="n">
        <f aca="false">'RAW DATA Q2 - 2'!DQ11</f>
        <v>4</v>
      </c>
    </row>
    <row r="21" customFormat="false" ht="15" hidden="false" customHeight="false" outlineLevel="0" collapsed="false">
      <c r="A21" s="58" t="n">
        <v>15</v>
      </c>
      <c r="B21" s="58" t="s">
        <v>271</v>
      </c>
      <c r="C21" s="59" t="str">
        <f aca="false">'RAW DATA Q2 - 2'!FM$1</f>
        <v>How would you rate the supplier's communication with you?</v>
      </c>
      <c r="D21" s="60" t="n">
        <f aca="false">'RAW DATA Q2 - 2'!FM11</f>
        <v>4</v>
      </c>
    </row>
    <row r="22" customFormat="false" ht="26.85" hidden="false" customHeight="false" outlineLevel="0" collapsed="false">
      <c r="A22" s="58" t="n">
        <v>16</v>
      </c>
      <c r="B22" s="58" t="s">
        <v>271</v>
      </c>
      <c r="C22" s="59" t="str">
        <f aca="false">'RAW DATA Q2 - 2'!FN$1</f>
        <v>How would you rate the supplier's PIC's availability to be contacted when needed?</v>
      </c>
      <c r="D22" s="60" t="n">
        <f aca="false">'RAW DATA Q2 - 2'!FN11</f>
        <v>4</v>
      </c>
    </row>
    <row r="23" customFormat="false" ht="39.55" hidden="false" customHeight="false" outlineLevel="0" collapsed="false">
      <c r="A23" s="58" t="n">
        <v>17</v>
      </c>
      <c r="B23" s="58" t="s">
        <v>271</v>
      </c>
      <c r="C23" s="59" t="str">
        <f aca="false">'RAW DATA Q2 - 2'!FO$1</f>
        <v>How would you rate the supplier's response speed to you when there are issues?
</v>
      </c>
      <c r="D23" s="60" t="n">
        <f aca="false">'RAW DATA Q2 - 2'!FO11</f>
        <v>4</v>
      </c>
    </row>
    <row r="25" customFormat="false" ht="15" hidden="false" customHeight="false" outlineLevel="0" collapsed="false">
      <c r="A25" s="50" t="s">
        <v>272</v>
      </c>
      <c r="B25" s="61" t="n">
        <f aca="false">AVERAGEIF(B7:B23,"Quality",D7:D23)</f>
        <v>4.18181818181818</v>
      </c>
    </row>
    <row r="26" customFormat="false" ht="15" hidden="false" customHeight="false" outlineLevel="0" collapsed="false">
      <c r="A26" s="50" t="s">
        <v>273</v>
      </c>
      <c r="B26" s="61" t="n">
        <f aca="false">AVERAGEIF(B7:B23,"Timeline",D7:D23)</f>
        <v>4</v>
      </c>
    </row>
    <row r="27" customFormat="false" ht="15" hidden="false" customHeight="false" outlineLevel="0" collapsed="false">
      <c r="A27" s="50" t="s">
        <v>274</v>
      </c>
      <c r="B27" s="61" t="n">
        <f aca="false">AVERAGEIF(B7:B23,"Relationship",D7:D23)</f>
        <v>4</v>
      </c>
    </row>
    <row r="28" customFormat="false" ht="15" hidden="false" customHeight="false" outlineLevel="0" collapsed="false">
      <c r="A28" s="50" t="s">
        <v>275</v>
      </c>
      <c r="B28" s="62" t="n">
        <f aca="false">B25*0.35+B26*0.35+B27*0.3</f>
        <v>4.06363636363636</v>
      </c>
    </row>
    <row r="29" customFormat="false" ht="15" hidden="false" customHeight="false" outlineLevel="0" collapsed="false">
      <c r="A29" s="50" t="s">
        <v>276</v>
      </c>
      <c r="B29" s="50" t="str">
        <f aca="false">IF(B28&gt;4.99,"Exceptional",IF(B28&gt;3.99,"Exceed Expectation",IF(B28&gt;=2.99,"Meet Expectation",IF(B28&gt;1.9,"Below Expectation","Unsatisfactory"))))</f>
        <v>Exceed Expectation</v>
      </c>
    </row>
    <row r="31" customFormat="false" ht="15" hidden="false" customHeight="false" outlineLevel="0" collapsed="false">
      <c r="A31" s="63" t="s">
        <v>277</v>
      </c>
    </row>
    <row r="32" customFormat="false" ht="15" hidden="false" customHeight="false" outlineLevel="0" collapsed="false">
      <c r="A32" s="46" t="s">
        <v>278</v>
      </c>
      <c r="B32" s="64" t="str">
        <f aca="false">'RAW DATA Q2 - 2'!FP11</f>
        <v>Yes</v>
      </c>
    </row>
    <row r="33" customFormat="false" ht="15" hidden="false" customHeight="false" outlineLevel="0" collapsed="false">
      <c r="A33" s="46" t="s">
        <v>279</v>
      </c>
      <c r="B33" s="64" t="str">
        <f aca="false">'RAW DATA Q2 - 2'!FQ11</f>
        <v>Yes</v>
      </c>
    </row>
    <row r="34" customFormat="false" ht="41.75" hidden="false" customHeight="false" outlineLevel="0" collapsed="false">
      <c r="A34" s="46" t="s">
        <v>280</v>
      </c>
      <c r="B34" s="64" t="str">
        <f aca="false">'RAW DATA Q2 - 2'!FR11</f>
        <v>Yes, DPIA completed and there are actions to be done by Project Owner</v>
      </c>
    </row>
    <row r="35" customFormat="false" ht="15" hidden="false" customHeight="false" outlineLevel="0" collapsed="false">
      <c r="A35" s="46" t="s">
        <v>281</v>
      </c>
      <c r="B35" s="64" t="str">
        <f aca="false">'RAW DATA Q2 - 2'!FS11</f>
        <v>No Implementation</v>
      </c>
    </row>
    <row r="36" customFormat="false" ht="41.75" hidden="false" customHeight="false" outlineLevel="0" collapsed="false">
      <c r="A36" s="46" t="s">
        <v>282</v>
      </c>
      <c r="B36" s="64" t="str">
        <f aca="false">'RAW DATA Q2 - 2'!FT11</f>
        <v>Yes, VSDDT completed and there are actions to be done by supplier</v>
      </c>
    </row>
    <row r="37" customFormat="false" ht="68.65" hidden="false" customHeight="false" outlineLevel="0" collapsed="false">
      <c r="A37" s="46" t="s">
        <v>283</v>
      </c>
      <c r="B37" s="64" t="str">
        <f aca="false">'RAW DATA Q2 - 2'!FU11</f>
        <v>Yes – Action items identified, but follow‑up and coordination with relevant SME is still required</v>
      </c>
    </row>
    <row r="39" customFormat="false" ht="15" hidden="false" customHeight="false" outlineLevel="0" collapsed="false">
      <c r="A39" s="63" t="s">
        <v>284</v>
      </c>
    </row>
    <row r="40" customFormat="false" ht="55.2" hidden="false" customHeight="false" outlineLevel="0" collapsed="false">
      <c r="B40" s="65" t="str">
        <f aca="false">'RAW DATA Q2 - 2'!FV11</f>
        <v>In dealing with Security AI-related issues, Deloitte is occasionally unable to provide a resolution and therefore redirects the matter to the Security AI team. Furthermore, several system features are restricted, and these limitations were not clearly communicated at the outset. Consequently, this has created challenges in implementing system enhancements and aligning the system with the business requirements of Security AI users.</v>
      </c>
      <c r="C40" s="65"/>
      <c r="D40" s="65"/>
    </row>
  </sheetData>
  <mergeCells count="2">
    <mergeCell ref="A1:D1"/>
    <mergeCell ref="B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249</v>
      </c>
    </row>
    <row r="3" customFormat="false" ht="15" hidden="false" customHeight="false" outlineLevel="0" collapsed="false">
      <c r="A3" s="50" t="s">
        <v>29</v>
      </c>
      <c r="B3" s="46" t="s">
        <v>250</v>
      </c>
    </row>
    <row r="4" customFormat="false" ht="15" hidden="false" customHeight="false" outlineLevel="0" collapsed="false">
      <c r="A4" s="50" t="s">
        <v>266</v>
      </c>
      <c r="B4" s="46" t="s">
        <v>251</v>
      </c>
    </row>
    <row r="6" customFormat="false" ht="15" hidden="false" customHeight="false" outlineLevel="0" collapsed="false">
      <c r="A6" s="51" t="s">
        <v>52</v>
      </c>
      <c r="B6" s="51" t="s">
        <v>267</v>
      </c>
      <c r="C6" s="51" t="s">
        <v>268</v>
      </c>
      <c r="D6" s="51" t="s">
        <v>37</v>
      </c>
    </row>
    <row r="7" customFormat="false" ht="39.55" hidden="false" customHeight="false" outlineLevel="0" collapsed="false">
      <c r="A7" s="52" t="n">
        <v>1</v>
      </c>
      <c r="B7" s="52" t="s">
        <v>269</v>
      </c>
      <c r="C7" s="53" t="str">
        <f aca="false">'RAW DATA Q2 - 2'!BP$1</f>
        <v>How would you rate the Supplier’s ability to deliver monthly Payroll Services?
</v>
      </c>
      <c r="D7" s="54" t="n">
        <f aca="false">'RAW DATA Q2 - 2'!BP2</f>
        <v>3</v>
      </c>
    </row>
    <row r="8" customFormat="false" ht="39.55" hidden="false" customHeight="false" outlineLevel="0" collapsed="false">
      <c r="A8" s="52" t="n">
        <v>2</v>
      </c>
      <c r="B8" s="52" t="s">
        <v>269</v>
      </c>
      <c r="C8" s="53" t="str">
        <f aca="false">'RAW DATA Q2 - 2'!BQ$1</f>
        <v>How would you rate the Supplier’s ability to deliver Cash Management Services, including the following aspects:
</v>
      </c>
      <c r="D8" s="54" t="n">
        <f aca="false">'RAW DATA Q2 - 2'!BQ2</f>
        <v>3</v>
      </c>
    </row>
    <row r="9" customFormat="false" ht="39.55" hidden="false" customHeight="false" outlineLevel="0" collapsed="false">
      <c r="A9" s="52" t="n">
        <v>3</v>
      </c>
      <c r="B9" s="52" t="s">
        <v>269</v>
      </c>
      <c r="C9" s="53" t="str">
        <f aca="false">'RAW DATA Q2 - 2'!BR$1</f>
        <v>How would you rate the Supplier’s ability to deliver Compliance Services, including the following aspects:
</v>
      </c>
      <c r="D9" s="54" t="n">
        <f aca="false">'RAW DATA Q2 - 2'!BR2</f>
        <v>3</v>
      </c>
    </row>
    <row r="10" customFormat="false" ht="39.55" hidden="false" customHeight="false" outlineLevel="0" collapsed="false">
      <c r="A10" s="52" t="n">
        <v>4</v>
      </c>
      <c r="B10" s="52" t="s">
        <v>269</v>
      </c>
      <c r="C10" s="53" t="str">
        <f aca="false">'RAW DATA Q2 - 2'!BS$1</f>
        <v>How would you rate the Supplier’s ability to deliver BPJS Kesehatan Services?
</v>
      </c>
      <c r="D10" s="54" t="n">
        <f aca="false">'RAW DATA Q2 - 2'!BS2</f>
        <v>3</v>
      </c>
    </row>
    <row r="11" customFormat="false" ht="39.55" hidden="false" customHeight="false" outlineLevel="0" collapsed="false">
      <c r="A11" s="52" t="n">
        <v>5</v>
      </c>
      <c r="B11" s="52" t="s">
        <v>269</v>
      </c>
      <c r="C11" s="53" t="str">
        <f aca="false">'RAW DATA Q2 - 2'!BT$1</f>
        <v>How would you rate the Supplier’s ability to comply with penalty provisions for payroll processing?
</v>
      </c>
      <c r="D11" s="54" t="n">
        <f aca="false">'RAW DATA Q2 - 2'!BT2</f>
        <v>3</v>
      </c>
    </row>
    <row r="12" customFormat="false" ht="39.55" hidden="false" customHeight="false" outlineLevel="0" collapsed="false">
      <c r="A12" s="52" t="n">
        <v>6</v>
      </c>
      <c r="B12" s="52" t="s">
        <v>269</v>
      </c>
      <c r="C12" s="53" t="str">
        <f aca="false">'RAW DATA Q2 - 2'!BU$1</f>
        <v>How would you rate the Supplier’s ability to execute the Special Project for BPJS Kesehatan?
</v>
      </c>
      <c r="D12" s="54" t="n">
        <f aca="false">'RAW DATA Q2 - 2'!BU2</f>
        <v>3</v>
      </c>
    </row>
    <row r="13" customFormat="false" ht="39.55" hidden="false" customHeight="false" outlineLevel="0" collapsed="false">
      <c r="A13" s="55" t="n">
        <v>7</v>
      </c>
      <c r="B13" s="55" t="s">
        <v>270</v>
      </c>
      <c r="C13" s="56" t="str">
        <f aca="false">'RAW DATA Q2 - 2'!DZ$1</f>
        <v>How would you rate the Supplier’s ability to meet payroll disbursement timelines?
</v>
      </c>
      <c r="D13" s="57" t="n">
        <f aca="false">'RAW DATA Q2 - 2'!DZ2</f>
        <v>3</v>
      </c>
    </row>
    <row r="14" customFormat="false" ht="39.55" hidden="false" customHeight="false" outlineLevel="0" collapsed="false">
      <c r="A14" s="55" t="n">
        <v>8</v>
      </c>
      <c r="B14" s="55" t="s">
        <v>270</v>
      </c>
      <c r="C14" s="56" t="str">
        <f aca="false">'RAW DATA Q2 - 2'!EA$1</f>
        <v>How would you rate the Supplier’s ability to meet the timelines for report and form submissions, including the following aspects:
</v>
      </c>
      <c r="D14" s="57" t="n">
        <f aca="false">'RAW DATA Q2 - 2'!EA2</f>
        <v>3</v>
      </c>
    </row>
    <row r="15" customFormat="false" ht="39.55" hidden="false" customHeight="false" outlineLevel="0" collapsed="false">
      <c r="A15" s="55" t="n">
        <v>9</v>
      </c>
      <c r="B15" s="55" t="s">
        <v>270</v>
      </c>
      <c r="C15" s="56" t="str">
        <f aca="false">'RAW DATA Q2 - 2'!EB$1</f>
        <v>How would you rate the Supplier’s ability to meet the required timelines for payment processing?
</v>
      </c>
      <c r="D15" s="57" t="n">
        <f aca="false">'RAW DATA Q2 - 2'!EB2</f>
        <v>3</v>
      </c>
    </row>
    <row r="16" customFormat="false" ht="15" hidden="false" customHeight="false" outlineLevel="0" collapsed="false">
      <c r="A16" s="58" t="n">
        <v>10</v>
      </c>
      <c r="B16" s="58" t="s">
        <v>271</v>
      </c>
      <c r="C16" s="59" t="str">
        <f aca="false">'RAW DATA Q2 - 2'!FM$1</f>
        <v>How would you rate the supplier's communication with you?</v>
      </c>
      <c r="D16" s="60" t="n">
        <f aca="false">'RAW DATA Q2 - 2'!FM2</f>
        <v>3</v>
      </c>
    </row>
    <row r="17" customFormat="false" ht="26.85" hidden="false" customHeight="false" outlineLevel="0" collapsed="false">
      <c r="A17" s="58" t="n">
        <v>11</v>
      </c>
      <c r="B17" s="58" t="s">
        <v>271</v>
      </c>
      <c r="C17" s="59" t="str">
        <f aca="false">'RAW DATA Q2 - 2'!FN$1</f>
        <v>How would you rate the supplier's PIC's availability to be contacted when needed?</v>
      </c>
      <c r="D17" s="60" t="n">
        <f aca="false">'RAW DATA Q2 - 2'!FN2</f>
        <v>3</v>
      </c>
    </row>
    <row r="18" customFormat="false" ht="39.55" hidden="false" customHeight="false" outlineLevel="0" collapsed="false">
      <c r="A18" s="58" t="n">
        <v>12</v>
      </c>
      <c r="B18" s="58" t="s">
        <v>271</v>
      </c>
      <c r="C18" s="59" t="str">
        <f aca="false">'RAW DATA Q2 - 2'!FO$1</f>
        <v>How would you rate the supplier's response speed to you when there are issues?
</v>
      </c>
      <c r="D18" s="60" t="n">
        <f aca="false">'RAW DATA Q2 - 2'!FO2</f>
        <v>3</v>
      </c>
    </row>
    <row r="20" customFormat="false" ht="15" hidden="false" customHeight="false" outlineLevel="0" collapsed="false">
      <c r="A20" s="50" t="s">
        <v>272</v>
      </c>
      <c r="B20" s="61" t="n">
        <f aca="false">AVERAGEIF(B7:B18,"Quality",D7:D18)</f>
        <v>3</v>
      </c>
    </row>
    <row r="21" customFormat="false" ht="15" hidden="false" customHeight="false" outlineLevel="0" collapsed="false">
      <c r="A21" s="50" t="s">
        <v>273</v>
      </c>
      <c r="B21" s="61" t="n">
        <f aca="false">AVERAGEIF(B7:B18,"Timeline",D7:D18)</f>
        <v>3</v>
      </c>
    </row>
    <row r="22" customFormat="false" ht="15" hidden="false" customHeight="false" outlineLevel="0" collapsed="false">
      <c r="A22" s="50" t="s">
        <v>274</v>
      </c>
      <c r="B22" s="61" t="n">
        <f aca="false">AVERAGEIF(B7:B18,"Relationship",D7:D18)</f>
        <v>3</v>
      </c>
    </row>
    <row r="23" customFormat="false" ht="15" hidden="false" customHeight="false" outlineLevel="0" collapsed="false">
      <c r="A23" s="50" t="s">
        <v>275</v>
      </c>
      <c r="B23" s="62" t="n">
        <f aca="false">B20*0.35+B21*0.35+B22*0.3</f>
        <v>3</v>
      </c>
    </row>
    <row r="24" customFormat="false" ht="15" hidden="false" customHeight="false" outlineLevel="0" collapsed="false">
      <c r="A24" s="50" t="s">
        <v>276</v>
      </c>
      <c r="B24" s="50" t="str">
        <f aca="false">IF(B23&gt;4.99,"Exceptional",IF(B23&gt;3.99,"Exceed Expectation",IF(B23&gt;=2.99,"Meet Expectation",IF(B23&gt;1.9,"Below Expectation","Unsatisfactory"))))</f>
        <v>Meet Expectation</v>
      </c>
    </row>
    <row r="26" customFormat="false" ht="15" hidden="false" customHeight="false" outlineLevel="0" collapsed="false">
      <c r="A26" s="63" t="s">
        <v>277</v>
      </c>
    </row>
    <row r="27" customFormat="false" ht="15" hidden="false" customHeight="false" outlineLevel="0" collapsed="false">
      <c r="A27" s="46" t="s">
        <v>278</v>
      </c>
      <c r="B27" s="64" t="str">
        <f aca="false">'RAW DATA Q2 - 2'!FP2</f>
        <v>Yes</v>
      </c>
    </row>
    <row r="28" customFormat="false" ht="15" hidden="false" customHeight="false" outlineLevel="0" collapsed="false">
      <c r="A28" s="46" t="s">
        <v>279</v>
      </c>
      <c r="B28" s="64" t="str">
        <f aca="false">'RAW DATA Q2 - 2'!FQ2</f>
        <v>Yes</v>
      </c>
    </row>
    <row r="29" customFormat="false" ht="41.75" hidden="false" customHeight="false" outlineLevel="0" collapsed="false">
      <c r="A29" s="46" t="s">
        <v>280</v>
      </c>
      <c r="B29" s="64" t="str">
        <f aca="false">'RAW DATA Q2 - 2'!FR2</f>
        <v>Yes, DPIA completed and there are actions to be done by Project Owner</v>
      </c>
    </row>
    <row r="30" customFormat="false" ht="15" hidden="false" customHeight="false" outlineLevel="0" collapsed="false">
      <c r="A30" s="46" t="s">
        <v>281</v>
      </c>
      <c r="B30" s="64" t="str">
        <f aca="false">'RAW DATA Q2 - 2'!FS2</f>
        <v>Yes, DPSQ completed</v>
      </c>
    </row>
    <row r="31" customFormat="false" ht="41.75" hidden="false" customHeight="false" outlineLevel="0" collapsed="false">
      <c r="A31" s="46" t="s">
        <v>282</v>
      </c>
      <c r="B31" s="64" t="str">
        <f aca="false">'RAW DATA Q2 - 2'!FT2</f>
        <v>Yes, VSDDT completed and there are actions to be done by supplier</v>
      </c>
    </row>
    <row r="32" customFormat="false" ht="55.2" hidden="false" customHeight="false" outlineLevel="0" collapsed="false">
      <c r="A32" s="46" t="s">
        <v>283</v>
      </c>
      <c r="B32" s="64" t="str">
        <f aca="false">'RAW DATA Q2 - 2'!FU2</f>
        <v>Yes – All action items have been completed and coordinated with relevant SME</v>
      </c>
    </row>
    <row r="34" customFormat="false" ht="15" hidden="false" customHeight="false" outlineLevel="0" collapsed="false">
      <c r="A34" s="63" t="s">
        <v>284</v>
      </c>
    </row>
    <row r="35" customFormat="false" ht="15" hidden="false" customHeight="false" outlineLevel="0" collapsed="false">
      <c r="B35" s="65" t="str">
        <f aca="false">'RAW DATA Q2 - 2'!FV2</f>
        <v>-</v>
      </c>
      <c r="C35" s="65"/>
      <c r="D35" s="65"/>
    </row>
  </sheetData>
  <mergeCells count="2">
    <mergeCell ref="A1:D1"/>
    <mergeCell ref="B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252</v>
      </c>
    </row>
    <row r="3" customFormat="false" ht="15" hidden="false" customHeight="false" outlineLevel="0" collapsed="false">
      <c r="A3" s="50" t="s">
        <v>29</v>
      </c>
      <c r="B3" s="46" t="s">
        <v>253</v>
      </c>
    </row>
    <row r="4" customFormat="false" ht="15" hidden="false" customHeight="false" outlineLevel="0" collapsed="false">
      <c r="A4" s="50" t="s">
        <v>266</v>
      </c>
      <c r="B4" s="46" t="s">
        <v>227</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Q2 - 2'!P$1</f>
        <v>How would you rate the goods/services provided by the Supplier against the agreed standards</v>
      </c>
      <c r="D7" s="54" t="n">
        <f aca="false">'RAW DATA Q2 - 2'!P5</f>
        <v>3</v>
      </c>
    </row>
    <row r="8" customFormat="false" ht="15" hidden="false" customHeight="false" outlineLevel="0" collapsed="false">
      <c r="A8" s="52" t="n">
        <v>2</v>
      </c>
      <c r="B8" s="52" t="s">
        <v>269</v>
      </c>
      <c r="C8" s="53" t="str">
        <f aca="false">'RAW DATA Q2 - 2'!Q$1</f>
        <v>How would you rate the accuracy of the data in the Supplier's reports?</v>
      </c>
      <c r="D8" s="54" t="n">
        <f aca="false">'RAW DATA Q2 - 2'!Q5</f>
        <v>4</v>
      </c>
    </row>
    <row r="9" customFormat="false" ht="26.85" hidden="false" customHeight="false" outlineLevel="0" collapsed="false">
      <c r="A9" s="52" t="n">
        <v>3</v>
      </c>
      <c r="B9" s="52" t="s">
        <v>269</v>
      </c>
      <c r="C9" s="53" t="str">
        <f aca="false">'RAW DATA Q2 - 2'!R$1</f>
        <v>How would you rate overall quality of the work reports provided by the Supplier?</v>
      </c>
      <c r="D9" s="54" t="n">
        <f aca="false">'RAW DATA Q2 - 2'!R5</f>
        <v>4</v>
      </c>
    </row>
    <row r="10" customFormat="false" ht="15" hidden="false" customHeight="false" outlineLevel="0" collapsed="false">
      <c r="A10" s="52" t="n">
        <v>4</v>
      </c>
      <c r="B10" s="52" t="s">
        <v>269</v>
      </c>
      <c r="C10" s="53" t="str">
        <f aca="false">'RAW DATA Q2 - 2'!S$1</f>
        <v>How would you rate the solutions provided when there is trouble?</v>
      </c>
      <c r="D10" s="54" t="n">
        <f aca="false">'RAW DATA Q2 - 2'!S5</f>
        <v>3</v>
      </c>
    </row>
    <row r="11" customFormat="false" ht="26.85" hidden="false" customHeight="false" outlineLevel="0" collapsed="false">
      <c r="A11" s="52" t="n">
        <v>5</v>
      </c>
      <c r="B11" s="52" t="s">
        <v>269</v>
      </c>
      <c r="C11" s="53" t="str">
        <f aca="false">'RAW DATA Q2 - 2'!T$1</f>
        <v>How would you rate the Vendor initiative to take mitigation/preventive action to prevent the problem from recurring?</v>
      </c>
      <c r="D11" s="54" t="n">
        <f aca="false">'RAW DATA Q2 - 2'!T5</f>
        <v>3</v>
      </c>
    </row>
    <row r="12" customFormat="false" ht="26.85" hidden="false" customHeight="false" outlineLevel="0" collapsed="false">
      <c r="A12" s="52" t="n">
        <v>6</v>
      </c>
      <c r="B12" s="52" t="s">
        <v>269</v>
      </c>
      <c r="C12" s="53" t="str">
        <f aca="false">'RAW DATA Q2 - 2'!U$1</f>
        <v>How would you rate supplier compliance with administrative processes, including completion of draft cooperation contract?1</v>
      </c>
      <c r="D12" s="54" t="n">
        <f aca="false">'RAW DATA Q2 - 2'!U5</f>
        <v>4</v>
      </c>
    </row>
    <row r="13" customFormat="false" ht="39.55" hidden="false" customHeight="false" outlineLevel="0" collapsed="false">
      <c r="A13" s="52" t="n">
        <v>7</v>
      </c>
      <c r="B13" s="52" t="s">
        <v>269</v>
      </c>
      <c r="C13" s="53" t="str">
        <f aca="false">'RAW DATA Q2 - 2'!V$1</f>
        <v>How would you rate the supplier implementation on a Project Management Approach, which includes: 
</v>
      </c>
      <c r="D13" s="54" t="n">
        <f aca="false">'RAW DATA Q2 - 2'!V5</f>
        <v>3</v>
      </c>
    </row>
    <row r="14" customFormat="false" ht="39.55" hidden="false" customHeight="false" outlineLevel="0" collapsed="false">
      <c r="A14" s="52" t="n">
        <v>8</v>
      </c>
      <c r="B14" s="52" t="s">
        <v>269</v>
      </c>
      <c r="C14" s="53" t="str">
        <f aca="false">'RAW DATA Q2 - 2'!W$1</f>
        <v>How would you rate the supplier support in providing 1 (one) Technical Support personnel who is specifically assigned? Based on SLA, this technical support will be assigned at Menara Global and Graha </v>
      </c>
      <c r="D14" s="54" t="n">
        <f aca="false">'RAW DATA Q2 - 2'!W5</f>
        <v>4</v>
      </c>
    </row>
    <row r="15" customFormat="false" ht="39.55" hidden="false" customHeight="false" outlineLevel="0" collapsed="false">
      <c r="A15" s="52" t="n">
        <v>9</v>
      </c>
      <c r="B15" s="52" t="s">
        <v>269</v>
      </c>
      <c r="C15" s="53" t="str">
        <f aca="false">'RAW DATA Q2 - 2'!X$1</f>
        <v>How would you rate the supplier support in providing technical support personnel who will perform several activities such as:
</v>
      </c>
      <c r="D15" s="54" t="n">
        <f aca="false">'RAW DATA Q2 - 2'!X5</f>
        <v>4</v>
      </c>
    </row>
    <row r="16" customFormat="false" ht="39.55" hidden="false" customHeight="false" outlineLevel="0" collapsed="false">
      <c r="A16" s="52" t="n">
        <v>10</v>
      </c>
      <c r="B16" s="52" t="s">
        <v>269</v>
      </c>
      <c r="C16" s="53" t="str">
        <f aca="false">'RAW DATA Q2 - 2'!Y$1</f>
        <v>How would you rate the supplier support in maintaining 99% SLA for System Availability in providing the Services to AMFS (SLA calculation does not include service downtime triggered by deliverables no</v>
      </c>
      <c r="D16" s="54" t="n">
        <f aca="false">'RAW DATA Q2 - 2'!Y5</f>
        <v>4</v>
      </c>
    </row>
    <row r="17" customFormat="false" ht="39.55" hidden="false" customHeight="false" outlineLevel="0" collapsed="false">
      <c r="A17" s="52" t="n">
        <v>11</v>
      </c>
      <c r="B17" s="52" t="s">
        <v>269</v>
      </c>
      <c r="C17" s="53" t="str">
        <f aca="false">'RAW DATA Q2 - 2'!Z$1</f>
        <v>How would you rate the supplier support in providing Annual Support such as:
</v>
      </c>
      <c r="D17" s="54" t="n">
        <f aca="false">'RAW DATA Q2 - 2'!Z5</f>
        <v>4</v>
      </c>
    </row>
    <row r="18" customFormat="false" ht="26.85" hidden="false" customHeight="false" outlineLevel="0" collapsed="false">
      <c r="A18" s="55" t="n">
        <v>12</v>
      </c>
      <c r="B18" s="55" t="s">
        <v>270</v>
      </c>
      <c r="C18" s="56" t="str">
        <f aca="false">'RAW DATA Q2 - 2'!DO$1</f>
        <v>How would you rate the supplier's timeliness in delivering goods/services compared to the agreed-upon timeline?</v>
      </c>
      <c r="D18" s="57" t="n">
        <f aca="false">'RAW DATA Q2 - 2'!DO5</f>
        <v>3</v>
      </c>
    </row>
    <row r="19" customFormat="false" ht="15" hidden="false" customHeight="false" outlineLevel="0" collapsed="false">
      <c r="A19" s="55" t="n">
        <v>13</v>
      </c>
      <c r="B19" s="55" t="s">
        <v>270</v>
      </c>
      <c r="C19" s="56" t="str">
        <f aca="false">'RAW DATA Q2 - 2'!DP$1</f>
        <v>How would you rate the supplier's timeliness in sending reports to you?</v>
      </c>
      <c r="D19" s="57" t="n">
        <f aca="false">'RAW DATA Q2 - 2'!DP5</f>
        <v>4</v>
      </c>
    </row>
    <row r="20" customFormat="false" ht="26.85" hidden="false" customHeight="false" outlineLevel="0" collapsed="false">
      <c r="A20" s="55" t="n">
        <v>14</v>
      </c>
      <c r="B20" s="55" t="s">
        <v>270</v>
      </c>
      <c r="C20" s="56" t="str">
        <f aca="false">'RAW DATA Q2 - 2'!DQ$1</f>
        <v>How would you rate the supplier's speed ​​of administrative completion, including completion of contracts draft?</v>
      </c>
      <c r="D20" s="57" t="n">
        <f aca="false">'RAW DATA Q2 - 2'!DQ5</f>
        <v>3</v>
      </c>
    </row>
    <row r="21" customFormat="false" ht="15" hidden="false" customHeight="false" outlineLevel="0" collapsed="false">
      <c r="A21" s="58" t="n">
        <v>15</v>
      </c>
      <c r="B21" s="58" t="s">
        <v>271</v>
      </c>
      <c r="C21" s="59" t="str">
        <f aca="false">'RAW DATA Q2 - 2'!FM$1</f>
        <v>How would you rate the supplier's communication with you?</v>
      </c>
      <c r="D21" s="60" t="n">
        <f aca="false">'RAW DATA Q2 - 2'!FM5</f>
        <v>4</v>
      </c>
    </row>
    <row r="22" customFormat="false" ht="26.85" hidden="false" customHeight="false" outlineLevel="0" collapsed="false">
      <c r="A22" s="58" t="n">
        <v>16</v>
      </c>
      <c r="B22" s="58" t="s">
        <v>271</v>
      </c>
      <c r="C22" s="59" t="str">
        <f aca="false">'RAW DATA Q2 - 2'!FN$1</f>
        <v>How would you rate the supplier's PIC's availability to be contacted when needed?</v>
      </c>
      <c r="D22" s="60" t="n">
        <f aca="false">'RAW DATA Q2 - 2'!FN5</f>
        <v>3</v>
      </c>
    </row>
    <row r="23" customFormat="false" ht="39.55" hidden="false" customHeight="false" outlineLevel="0" collapsed="false">
      <c r="A23" s="58" t="n">
        <v>17</v>
      </c>
      <c r="B23" s="58" t="s">
        <v>271</v>
      </c>
      <c r="C23" s="59" t="str">
        <f aca="false">'RAW DATA Q2 - 2'!FO$1</f>
        <v>How would you rate the supplier's response speed to you when there are issues?
</v>
      </c>
      <c r="D23" s="60" t="n">
        <f aca="false">'RAW DATA Q2 - 2'!FO5</f>
        <v>4</v>
      </c>
    </row>
    <row r="25" customFormat="false" ht="15" hidden="false" customHeight="false" outlineLevel="0" collapsed="false">
      <c r="A25" s="50" t="s">
        <v>272</v>
      </c>
      <c r="B25" s="61" t="n">
        <f aca="false">AVERAGEIF(B7:B23,"Quality",D7:D23)</f>
        <v>3.63636363636364</v>
      </c>
    </row>
    <row r="26" customFormat="false" ht="15" hidden="false" customHeight="false" outlineLevel="0" collapsed="false">
      <c r="A26" s="50" t="s">
        <v>273</v>
      </c>
      <c r="B26" s="61" t="n">
        <f aca="false">AVERAGEIF(B7:B23,"Timeline",D7:D23)</f>
        <v>3.33333333333333</v>
      </c>
    </row>
    <row r="27" customFormat="false" ht="15" hidden="false" customHeight="false" outlineLevel="0" collapsed="false">
      <c r="A27" s="50" t="s">
        <v>274</v>
      </c>
      <c r="B27" s="61" t="n">
        <f aca="false">AVERAGEIF(B7:B23,"Relationship",D7:D23)</f>
        <v>3.66666666666667</v>
      </c>
    </row>
    <row r="28" customFormat="false" ht="15" hidden="false" customHeight="false" outlineLevel="0" collapsed="false">
      <c r="A28" s="50" t="s">
        <v>275</v>
      </c>
      <c r="B28" s="62" t="n">
        <f aca="false">B25*0.35+B26*0.35+B27*0.3</f>
        <v>3.53939393939394</v>
      </c>
    </row>
    <row r="29" customFormat="false" ht="15" hidden="false" customHeight="false" outlineLevel="0" collapsed="false">
      <c r="A29" s="50" t="s">
        <v>276</v>
      </c>
      <c r="B29" s="50" t="str">
        <f aca="false">IF(B28&gt;4.99,"Exceptional",IF(B28&gt;3.99,"Exceed Expectation",IF(B28&gt;=2.99,"Meet Expectation",IF(B28&gt;1.9,"Below Expectation","Unsatisfactory"))))</f>
        <v>Meet Expectation</v>
      </c>
    </row>
    <row r="31" customFormat="false" ht="15" hidden="false" customHeight="false" outlineLevel="0" collapsed="false">
      <c r="A31" s="63" t="s">
        <v>277</v>
      </c>
    </row>
    <row r="32" customFormat="false" ht="15" hidden="false" customHeight="false" outlineLevel="0" collapsed="false">
      <c r="A32" s="46" t="s">
        <v>278</v>
      </c>
      <c r="B32" s="64" t="str">
        <f aca="false">'RAW DATA Q2 - 2'!FP5</f>
        <v>Yes</v>
      </c>
    </row>
    <row r="33" customFormat="false" ht="15" hidden="false" customHeight="false" outlineLevel="0" collapsed="false">
      <c r="A33" s="46" t="s">
        <v>279</v>
      </c>
      <c r="B33" s="64" t="str">
        <f aca="false">'RAW DATA Q2 - 2'!FQ5</f>
        <v>Yes</v>
      </c>
    </row>
    <row r="34" customFormat="false" ht="41.75" hidden="false" customHeight="false" outlineLevel="0" collapsed="false">
      <c r="A34" s="46" t="s">
        <v>280</v>
      </c>
      <c r="B34" s="64" t="str">
        <f aca="false">'RAW DATA Q2 - 2'!FR5</f>
        <v>Yes, DPIA completed and there are actions to be done by Project Owner</v>
      </c>
    </row>
    <row r="35" customFormat="false" ht="28.35" hidden="false" customHeight="false" outlineLevel="0" collapsed="false">
      <c r="A35" s="46" t="s">
        <v>281</v>
      </c>
      <c r="B35" s="64" t="str">
        <f aca="false">'RAW DATA Q2 - 2'!FS5</f>
        <v>Yes, DPSQ not completed yet</v>
      </c>
    </row>
    <row r="36" customFormat="false" ht="41.75" hidden="false" customHeight="false" outlineLevel="0" collapsed="false">
      <c r="A36" s="46" t="s">
        <v>282</v>
      </c>
      <c r="B36" s="64" t="str">
        <f aca="false">'RAW DATA Q2 - 2'!FT5</f>
        <v>Yes, VSDDT completed and there are actions to be done by supplier</v>
      </c>
    </row>
    <row r="37" customFormat="false" ht="68.65" hidden="false" customHeight="false" outlineLevel="0" collapsed="false">
      <c r="A37" s="46" t="s">
        <v>283</v>
      </c>
      <c r="B37" s="64" t="str">
        <f aca="false">'RAW DATA Q2 - 2'!FU5</f>
        <v>Yes – Action items identified, but follow‑up and coordination with relevant SME is still required</v>
      </c>
    </row>
    <row r="39" customFormat="false" ht="15" hidden="false" customHeight="false" outlineLevel="0" collapsed="false">
      <c r="A39" s="63" t="s">
        <v>284</v>
      </c>
    </row>
    <row r="40" customFormat="false" ht="28.35" hidden="false" customHeight="false" outlineLevel="0" collapsed="false">
      <c r="B40" s="65" t="str">
        <f aca="false">'RAW DATA Q2 - 2'!FV5</f>
        <v>1. For AI Implementation, KPSG need to improve the delivery time, quality and PIC availability and backup PIC support
2. Another enhancement need to speed up with dedicated team </v>
      </c>
      <c r="C40" s="65"/>
      <c r="D40" s="65"/>
    </row>
  </sheetData>
  <mergeCells count="2">
    <mergeCell ref="A1:D1"/>
    <mergeCell ref="B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254</v>
      </c>
    </row>
    <row r="3" customFormat="false" ht="15" hidden="false" customHeight="false" outlineLevel="0" collapsed="false">
      <c r="A3" s="50" t="s">
        <v>29</v>
      </c>
      <c r="B3" s="46" t="s">
        <v>255</v>
      </c>
    </row>
    <row r="4" customFormat="false" ht="15" hidden="false" customHeight="false" outlineLevel="0" collapsed="false">
      <c r="A4" s="50" t="s">
        <v>266</v>
      </c>
      <c r="B4" s="46" t="s">
        <v>256</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Q2 - 2'!H$1</f>
        <v>How would you rate the services provided by the supplier?
</v>
      </c>
      <c r="D7" s="54" t="n">
        <f aca="false">'RAW DATA Q2 - 2'!H7</f>
        <v>4</v>
      </c>
    </row>
    <row r="8" customFormat="false" ht="15" hidden="false" customHeight="false" outlineLevel="0" collapsed="false">
      <c r="A8" s="52" t="n">
        <v>2</v>
      </c>
      <c r="B8" s="52" t="s">
        <v>269</v>
      </c>
      <c r="C8" s="53" t="str">
        <f aca="false">'RAW DATA Q2 - 2'!I$1</f>
        <v>How would you rate the accuracy of the data in the Supplier's reports?</v>
      </c>
      <c r="D8" s="54" t="n">
        <f aca="false">'RAW DATA Q2 - 2'!I7</f>
        <v>4</v>
      </c>
    </row>
    <row r="9" customFormat="false" ht="26.85" hidden="false" customHeight="false" outlineLevel="0" collapsed="false">
      <c r="A9" s="52" t="n">
        <v>3</v>
      </c>
      <c r="B9" s="52" t="s">
        <v>269</v>
      </c>
      <c r="C9" s="53" t="str">
        <f aca="false">'RAW DATA Q2 - 2'!J$1</f>
        <v>How would you rate overall quality of the work reports provided by the Supplier</v>
      </c>
      <c r="D9" s="54" t="n">
        <f aca="false">'RAW DATA Q2 - 2'!J7</f>
        <v>3</v>
      </c>
    </row>
    <row r="10" customFormat="false" ht="26.85" hidden="false" customHeight="false" outlineLevel="0" collapsed="false">
      <c r="A10" s="52" t="n">
        <v>4</v>
      </c>
      <c r="B10" s="52" t="s">
        <v>269</v>
      </c>
      <c r="C10" s="53" t="str">
        <f aca="false">'RAW DATA Q2 - 2'!K$1</f>
        <v>How would you rate the solutions provided by the supplier when there is trouble?</v>
      </c>
      <c r="D10" s="54" t="n">
        <f aca="false">'RAW DATA Q2 - 2'!K7</f>
        <v>3</v>
      </c>
    </row>
    <row r="11" customFormat="false" ht="15" hidden="false" customHeight="false" outlineLevel="0" collapsed="false">
      <c r="A11" s="52" t="n">
        <v>5</v>
      </c>
      <c r="B11" s="52" t="s">
        <v>269</v>
      </c>
      <c r="C11" s="53" t="str">
        <f aca="false">'RAW DATA Q2 - 2'!L$1</f>
        <v>How would you rate the resolution to the problem that occurred?</v>
      </c>
      <c r="D11" s="54" t="n">
        <f aca="false">'RAW DATA Q2 - 2'!L7</f>
        <v>3</v>
      </c>
    </row>
    <row r="12" customFormat="false" ht="26.85" hidden="false" customHeight="false" outlineLevel="0" collapsed="false">
      <c r="A12" s="52" t="n">
        <v>6</v>
      </c>
      <c r="B12" s="52" t="s">
        <v>269</v>
      </c>
      <c r="C12" s="53" t="str">
        <f aca="false">'RAW DATA Q2 - 2'!M$1</f>
        <v>How would you rate the speed of resolution given to problems that occur?</v>
      </c>
      <c r="D12" s="54" t="n">
        <f aca="false">'RAW DATA Q2 - 2'!M7</f>
        <v>3</v>
      </c>
    </row>
    <row r="13" customFormat="false" ht="26.85" hidden="false" customHeight="false" outlineLevel="0" collapsed="false">
      <c r="A13" s="52" t="n">
        <v>7</v>
      </c>
      <c r="B13" s="52" t="s">
        <v>269</v>
      </c>
      <c r="C13" s="53" t="str">
        <f aca="false">'RAW DATA Q2 - 2'!N$1</f>
        <v>How would you rate supplier initiative to take mitigation/preventive action to prevent recurring problem?</v>
      </c>
      <c r="D13" s="54" t="n">
        <f aca="false">'RAW DATA Q2 - 2'!N7</f>
        <v>3</v>
      </c>
    </row>
    <row r="14" customFormat="false" ht="26.85" hidden="false" customHeight="false" outlineLevel="0" collapsed="false">
      <c r="A14" s="52" t="n">
        <v>8</v>
      </c>
      <c r="B14" s="52" t="s">
        <v>269</v>
      </c>
      <c r="C14" s="53" t="str">
        <f aca="false">'RAW DATA Q2 - 2'!O$1</f>
        <v>How would you rate supplier compliance with administrative processes, including completion of draft cooperation contract?</v>
      </c>
      <c r="D14" s="54" t="n">
        <f aca="false">'RAW DATA Q2 - 2'!O7</f>
        <v>3</v>
      </c>
    </row>
    <row r="15" customFormat="false" ht="26.85" hidden="false" customHeight="false" outlineLevel="0" collapsed="false">
      <c r="A15" s="55" t="n">
        <v>9</v>
      </c>
      <c r="B15" s="55" t="s">
        <v>270</v>
      </c>
      <c r="C15" s="56" t="str">
        <f aca="false">'RAW DATA Q2 - 2'!DO$1</f>
        <v>How would you rate the supplier's timeliness in delivering goods/services compared to the agreed-upon timeline?</v>
      </c>
      <c r="D15" s="57" t="n">
        <f aca="false">'RAW DATA Q2 - 2'!DO7</f>
        <v>3</v>
      </c>
    </row>
    <row r="16" customFormat="false" ht="15" hidden="false" customHeight="false" outlineLevel="0" collapsed="false">
      <c r="A16" s="55" t="n">
        <v>10</v>
      </c>
      <c r="B16" s="55" t="s">
        <v>270</v>
      </c>
      <c r="C16" s="56" t="str">
        <f aca="false">'RAW DATA Q2 - 2'!DP$1</f>
        <v>How would you rate the supplier's timeliness in sending reports to you?</v>
      </c>
      <c r="D16" s="57" t="n">
        <f aca="false">'RAW DATA Q2 - 2'!DP7</f>
        <v>3</v>
      </c>
    </row>
    <row r="17" customFormat="false" ht="26.85" hidden="false" customHeight="false" outlineLevel="0" collapsed="false">
      <c r="A17" s="55" t="n">
        <v>11</v>
      </c>
      <c r="B17" s="55" t="s">
        <v>270</v>
      </c>
      <c r="C17" s="56" t="str">
        <f aca="false">'RAW DATA Q2 - 2'!DQ$1</f>
        <v>How would you rate the supplier's speed ​​of administrative completion, including completion of contracts draft?</v>
      </c>
      <c r="D17" s="57" t="n">
        <f aca="false">'RAW DATA Q2 - 2'!DQ7</f>
        <v>3</v>
      </c>
    </row>
    <row r="18" customFormat="false" ht="15" hidden="false" customHeight="false" outlineLevel="0" collapsed="false">
      <c r="A18" s="58" t="n">
        <v>12</v>
      </c>
      <c r="B18" s="58" t="s">
        <v>271</v>
      </c>
      <c r="C18" s="59" t="str">
        <f aca="false">'RAW DATA Q2 - 2'!FM$1</f>
        <v>How would you rate the supplier's communication with you?</v>
      </c>
      <c r="D18" s="60" t="n">
        <f aca="false">'RAW DATA Q2 - 2'!FM7</f>
        <v>3</v>
      </c>
    </row>
    <row r="19" customFormat="false" ht="26.85" hidden="false" customHeight="false" outlineLevel="0" collapsed="false">
      <c r="A19" s="58" t="n">
        <v>13</v>
      </c>
      <c r="B19" s="58" t="s">
        <v>271</v>
      </c>
      <c r="C19" s="59" t="str">
        <f aca="false">'RAW DATA Q2 - 2'!FN$1</f>
        <v>How would you rate the supplier's PIC's availability to be contacted when needed?</v>
      </c>
      <c r="D19" s="60" t="n">
        <f aca="false">'RAW DATA Q2 - 2'!FN7</f>
        <v>3</v>
      </c>
    </row>
    <row r="20" customFormat="false" ht="39.55" hidden="false" customHeight="false" outlineLevel="0" collapsed="false">
      <c r="A20" s="58" t="n">
        <v>14</v>
      </c>
      <c r="B20" s="58" t="s">
        <v>271</v>
      </c>
      <c r="C20" s="59" t="str">
        <f aca="false">'RAW DATA Q2 - 2'!FO$1</f>
        <v>How would you rate the supplier's response speed to you when there are issues?
</v>
      </c>
      <c r="D20" s="60" t="n">
        <f aca="false">'RAW DATA Q2 - 2'!FO7</f>
        <v>3</v>
      </c>
    </row>
    <row r="22" customFormat="false" ht="15" hidden="false" customHeight="false" outlineLevel="0" collapsed="false">
      <c r="A22" s="50" t="s">
        <v>272</v>
      </c>
      <c r="B22" s="61" t="n">
        <f aca="false">AVERAGEIF(B7:B20,"Quality",D7:D20)</f>
        <v>3.25</v>
      </c>
    </row>
    <row r="23" customFormat="false" ht="15" hidden="false" customHeight="false" outlineLevel="0" collapsed="false">
      <c r="A23" s="50" t="s">
        <v>273</v>
      </c>
      <c r="B23" s="61" t="n">
        <f aca="false">AVERAGEIF(B7:B20,"Timeline",D7:D20)</f>
        <v>3</v>
      </c>
    </row>
    <row r="24" customFormat="false" ht="15" hidden="false" customHeight="false" outlineLevel="0" collapsed="false">
      <c r="A24" s="50" t="s">
        <v>274</v>
      </c>
      <c r="B24" s="61" t="n">
        <f aca="false">AVERAGEIF(B7:B20,"Relationship",D7:D20)</f>
        <v>3</v>
      </c>
    </row>
    <row r="25" customFormat="false" ht="15" hidden="false" customHeight="false" outlineLevel="0" collapsed="false">
      <c r="A25" s="50" t="s">
        <v>275</v>
      </c>
      <c r="B25" s="62" t="n">
        <f aca="false">B22*0.35+B23*0.35+B24*0.3</f>
        <v>3.0875</v>
      </c>
    </row>
    <row r="26" customFormat="false" ht="15" hidden="false" customHeight="false" outlineLevel="0" collapsed="false">
      <c r="A26" s="50" t="s">
        <v>276</v>
      </c>
      <c r="B26" s="50" t="str">
        <f aca="false">IF(B25&gt;4.99,"Exceptional",IF(B25&gt;3.99,"Exceed Expectation",IF(B25&gt;=2.99,"Meet Expectation",IF(B25&gt;1.9,"Below Expectation","Unsatisfactory"))))</f>
        <v>Meet Expectation</v>
      </c>
    </row>
    <row r="28" customFormat="false" ht="15" hidden="false" customHeight="false" outlineLevel="0" collapsed="false">
      <c r="A28" s="63" t="s">
        <v>277</v>
      </c>
    </row>
    <row r="29" customFormat="false" ht="15" hidden="false" customHeight="false" outlineLevel="0" collapsed="false">
      <c r="A29" s="46" t="s">
        <v>278</v>
      </c>
      <c r="B29" s="64" t="str">
        <f aca="false">'RAW DATA Q2 - 2'!FP7</f>
        <v>Yes</v>
      </c>
    </row>
    <row r="30" customFormat="false" ht="15" hidden="false" customHeight="false" outlineLevel="0" collapsed="false">
      <c r="A30" s="46" t="s">
        <v>279</v>
      </c>
      <c r="B30" s="64" t="str">
        <f aca="false">'RAW DATA Q2 - 2'!FQ7</f>
        <v>Yes</v>
      </c>
    </row>
    <row r="31" customFormat="false" ht="41.75" hidden="false" customHeight="false" outlineLevel="0" collapsed="false">
      <c r="A31" s="46" t="s">
        <v>280</v>
      </c>
      <c r="B31" s="64" t="str">
        <f aca="false">'RAW DATA Q2 - 2'!FR7</f>
        <v>Yes, DPIA completed and there are actions to be done by Project Owner</v>
      </c>
    </row>
    <row r="32" customFormat="false" ht="15" hidden="false" customHeight="false" outlineLevel="0" collapsed="false">
      <c r="A32" s="46" t="s">
        <v>281</v>
      </c>
      <c r="B32" s="64" t="str">
        <f aca="false">'RAW DATA Q2 - 2'!FS7</f>
        <v>Yes, DPSQ completed</v>
      </c>
    </row>
    <row r="33" customFormat="false" ht="41.75" hidden="false" customHeight="false" outlineLevel="0" collapsed="false">
      <c r="A33" s="46" t="s">
        <v>282</v>
      </c>
      <c r="B33" s="64" t="str">
        <f aca="false">'RAW DATA Q2 - 2'!FT7</f>
        <v>Yes, VSDDT completed and there are actions to be done by supplier</v>
      </c>
    </row>
    <row r="34" customFormat="false" ht="28.35" hidden="false" customHeight="false" outlineLevel="0" collapsed="false">
      <c r="A34" s="46" t="s">
        <v>283</v>
      </c>
      <c r="B34" s="64" t="str">
        <f aca="false">'RAW DATA Q2 - 2'!FU7</f>
        <v>No – No action items were required</v>
      </c>
    </row>
    <row r="36" customFormat="false" ht="15" hidden="false" customHeight="false" outlineLevel="0" collapsed="false">
      <c r="A36" s="63" t="s">
        <v>284</v>
      </c>
    </row>
    <row r="37" customFormat="false" ht="15" hidden="false" customHeight="false" outlineLevel="0" collapsed="false">
      <c r="B37" s="65" t="str">
        <f aca="false">'RAW DATA Q2 - 2'!FV7</f>
        <v>To ensure a smooth process, we need to move faster and maintain effective communication</v>
      </c>
      <c r="C37" s="65"/>
      <c r="D37" s="65"/>
    </row>
  </sheetData>
  <mergeCells count="2">
    <mergeCell ref="A1:D1"/>
    <mergeCell ref="B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189</v>
      </c>
    </row>
    <row r="3" customFormat="false" ht="15" hidden="false" customHeight="false" outlineLevel="0" collapsed="false">
      <c r="A3" s="50" t="s">
        <v>29</v>
      </c>
      <c r="B3" s="46" t="s">
        <v>190</v>
      </c>
    </row>
    <row r="4" customFormat="false" ht="15" hidden="false" customHeight="false" outlineLevel="0" collapsed="false">
      <c r="A4" s="50" t="s">
        <v>266</v>
      </c>
      <c r="B4" s="46" t="s">
        <v>257</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Q2 - 2'!CF$1</f>
        <v>The ARSI system (Inbound &amp; Outbound) works properly and is ready to use as promised</v>
      </c>
      <c r="D7" s="54" t="n">
        <f aca="false">'RAW DATA Q2 - 2'!CF3</f>
        <v>4</v>
      </c>
    </row>
    <row r="8" customFormat="false" ht="26.85" hidden="false" customHeight="false" outlineLevel="0" collapsed="false">
      <c r="A8" s="52" t="n">
        <v>2</v>
      </c>
      <c r="B8" s="52" t="s">
        <v>269</v>
      </c>
      <c r="C8" s="53" t="str">
        <f aca="false">'RAW DATA Q2 - 2'!CG$1</f>
        <v>The work delivered by KPSG reflects a high level of professionalism and expertise</v>
      </c>
      <c r="D8" s="54" t="n">
        <f aca="false">'RAW DATA Q2 - 2'!CG3</f>
        <v>3</v>
      </c>
    </row>
    <row r="9" customFormat="false" ht="26.85" hidden="false" customHeight="false" outlineLevel="0" collapsed="false">
      <c r="A9" s="52" t="n">
        <v>3</v>
      </c>
      <c r="B9" s="52" t="s">
        <v>269</v>
      </c>
      <c r="C9" s="53" t="str">
        <f aca="false">'RAW DATA Q2 - 2'!CH$1</f>
        <v>The integration with our other systems runs smoothly
</v>
      </c>
      <c r="D9" s="54" t="n">
        <f aca="false">'RAW DATA Q2 - 2'!CH3</f>
        <v>2</v>
      </c>
    </row>
    <row r="10" customFormat="false" ht="26.85" hidden="false" customHeight="false" outlineLevel="0" collapsed="false">
      <c r="A10" s="52" t="n">
        <v>4</v>
      </c>
      <c r="B10" s="52" t="s">
        <v>269</v>
      </c>
      <c r="C10" s="53" t="str">
        <f aca="false">'RAW DATA Q2 - 2'!CI$1</f>
        <v>The features provided work as expected
</v>
      </c>
      <c r="D10" s="54" t="n">
        <f aca="false">'RAW DATA Q2 - 2'!CI3</f>
        <v>3</v>
      </c>
    </row>
    <row r="11" customFormat="false" ht="39.55" hidden="false" customHeight="false" outlineLevel="0" collapsed="false">
      <c r="A11" s="52" t="n">
        <v>5</v>
      </c>
      <c r="B11" s="52" t="s">
        <v>269</v>
      </c>
      <c r="C11" s="53" t="str">
        <f aca="false">'RAW DATA Q2 - 2'!CJ$1</f>
        <v>Bugs or errors in the system are rare, and when they occur, they are fixed properly
</v>
      </c>
      <c r="D11" s="54" t="n">
        <f aca="false">'RAW DATA Q2 - 2'!CJ3</f>
        <v>3</v>
      </c>
    </row>
    <row r="12" customFormat="false" ht="26.85" hidden="false" customHeight="false" outlineLevel="0" collapsed="false">
      <c r="A12" s="52" t="n">
        <v>6</v>
      </c>
      <c r="B12" s="52" t="s">
        <v>269</v>
      </c>
      <c r="C12" s="53" t="str">
        <f aca="false">'RAW DATA Q2 - 2'!CK$1</f>
        <v>Project documents are complete and clear
</v>
      </c>
      <c r="D12" s="54" t="n">
        <f aca="false">'RAW DATA Q2 - 2'!CK3</f>
        <v>3</v>
      </c>
    </row>
    <row r="13" customFormat="false" ht="26.85" hidden="false" customHeight="false" outlineLevel="0" collapsed="false">
      <c r="A13" s="52" t="n">
        <v>7</v>
      </c>
      <c r="B13" s="52" t="s">
        <v>269</v>
      </c>
      <c r="C13" s="53" t="str">
        <f aca="false">'RAW DATA Q2 - 2'!CL$1</f>
        <v>Regular reports provided by KPSG are accurate and easy to understand
</v>
      </c>
      <c r="D13" s="54" t="n">
        <f aca="false">'RAW DATA Q2 - 2'!CL3</f>
        <v>4</v>
      </c>
    </row>
    <row r="14" customFormat="false" ht="39.55" hidden="false" customHeight="false" outlineLevel="0" collapsed="false">
      <c r="A14" s="52" t="n">
        <v>8</v>
      </c>
      <c r="B14" s="52" t="s">
        <v>269</v>
      </c>
      <c r="C14" s="53" t="str">
        <f aca="false">'RAW DATA Q2 - 2'!CM$1</f>
        <v>KPSG responds well and cooperatively when we raise complaints or request improvements
</v>
      </c>
      <c r="D14" s="54" t="n">
        <f aca="false">'RAW DATA Q2 - 2'!CM3</f>
        <v>4</v>
      </c>
    </row>
    <row r="15" customFormat="false" ht="26.85" hidden="false" customHeight="false" outlineLevel="0" collapsed="false">
      <c r="A15" s="52" t="n">
        <v>9</v>
      </c>
      <c r="B15" s="52" t="s">
        <v>269</v>
      </c>
      <c r="C15" s="53" t="str">
        <f aca="false">'RAW DATA Q2 - 2'!CN$1</f>
        <v>Our data and information are kept secure while using KPSG's system
</v>
      </c>
      <c r="D15" s="54" t="n">
        <f aca="false">'RAW DATA Q2 - 2'!CN3</f>
        <v>4</v>
      </c>
    </row>
    <row r="16" customFormat="false" ht="26.85" hidden="false" customHeight="false" outlineLevel="0" collapsed="false">
      <c r="A16" s="52" t="n">
        <v>10</v>
      </c>
      <c r="B16" s="52" t="s">
        <v>269</v>
      </c>
      <c r="C16" s="53" t="str">
        <f aca="false">'RAW DATA Q2 - 2'!CO$1</f>
        <v>Overall, the quality of KPSG's service meets our expectations
</v>
      </c>
      <c r="D16" s="54" t="n">
        <f aca="false">'RAW DATA Q2 - 2'!CO3</f>
        <v>3</v>
      </c>
    </row>
    <row r="17" customFormat="false" ht="39.55" hidden="false" customHeight="false" outlineLevel="0" collapsed="false">
      <c r="A17" s="55" t="n">
        <v>11</v>
      </c>
      <c r="B17" s="55" t="s">
        <v>270</v>
      </c>
      <c r="C17" s="56" t="str">
        <f aca="false">'RAW DATA Q2 - 2'!EC$1</f>
        <v>KPSG's support team is available during agreed service hours (Mon–Fri, 09:00–18:00), with on-call support outside these hours when needed
</v>
      </c>
      <c r="D17" s="57" t="n">
        <f aca="false">'RAW DATA Q2 - 2'!EC3</f>
        <v>4</v>
      </c>
    </row>
    <row r="18" customFormat="false" ht="26.85" hidden="false" customHeight="false" outlineLevel="0" collapsed="false">
      <c r="A18" s="52" t="n">
        <v>12</v>
      </c>
      <c r="B18" s="52" t="s">
        <v>269</v>
      </c>
      <c r="C18" s="53" t="str">
        <f aca="false">'RAW DATA Q2 - 2'!ED$1</f>
        <v>The system is available at least 99% of the time, with minimal downtime
</v>
      </c>
      <c r="D18" s="54" t="n">
        <f aca="false">'RAW DATA Q2 - 2'!ED3</f>
        <v>4</v>
      </c>
    </row>
    <row r="19" customFormat="false" ht="39.55" hidden="false" customHeight="false" outlineLevel="0" collapsed="false">
      <c r="A19" s="55" t="n">
        <v>13</v>
      </c>
      <c r="B19" s="55" t="s">
        <v>270</v>
      </c>
      <c r="C19" s="56" t="str">
        <f aca="false">'RAW DATA Q2 - 2'!EE$1</f>
        <v>KPSG responds to our service requests within 1 hour during normal working hours
</v>
      </c>
      <c r="D19" s="57" t="n">
        <f aca="false">'RAW DATA Q2 - 2'!EE3</f>
        <v>3</v>
      </c>
    </row>
    <row r="20" customFormat="false" ht="26.85" hidden="false" customHeight="false" outlineLevel="0" collapsed="false">
      <c r="A20" s="55" t="n">
        <v>14</v>
      </c>
      <c r="B20" s="55" t="s">
        <v>270</v>
      </c>
      <c r="C20" s="56" t="str">
        <f aca="false">'RAW DATA Q2 - 2'!EF$1</f>
        <v>Issues are resolved within the agreed timeframe based on impact level
</v>
      </c>
      <c r="D20" s="57" t="n">
        <f aca="false">'RAW DATA Q2 - 2'!EF3</f>
        <v>2</v>
      </c>
    </row>
    <row r="21" customFormat="false" ht="26.85" hidden="false" customHeight="false" outlineLevel="0" collapsed="false">
      <c r="A21" s="52" t="n">
        <v>15</v>
      </c>
      <c r="B21" s="52" t="s">
        <v>269</v>
      </c>
      <c r="C21" s="53" t="str">
        <f aca="false">'RAW DATA Q2 - 2'!EG$1</f>
        <v>How would you rate the Data Back Up processing
</v>
      </c>
      <c r="D21" s="54" t="n">
        <f aca="false">'RAW DATA Q2 - 2'!EG3</f>
        <v>4</v>
      </c>
    </row>
    <row r="22" customFormat="false" ht="26.85" hidden="false" customHeight="false" outlineLevel="0" collapsed="false">
      <c r="A22" s="55" t="n">
        <v>16</v>
      </c>
      <c r="B22" s="55" t="s">
        <v>270</v>
      </c>
      <c r="C22" s="56" t="str">
        <f aca="false">'RAW DATA Q2 - 2'!EH$1</f>
        <v>Project milestones are completed on the agreed dates
</v>
      </c>
      <c r="D22" s="57" t="n">
        <f aca="false">'RAW DATA Q2 - 2'!EH3</f>
        <v>2</v>
      </c>
    </row>
    <row r="23" customFormat="false" ht="26.85" hidden="false" customHeight="false" outlineLevel="0" collapsed="false">
      <c r="A23" s="55" t="n">
        <v>17</v>
      </c>
      <c r="B23" s="55" t="s">
        <v>270</v>
      </c>
      <c r="C23" s="56" t="str">
        <f aca="false">'RAW DATA Q2 - 2'!EI$1</f>
        <v>KPSG gives us early warning if there's a risk of delay in any deliverable
</v>
      </c>
      <c r="D23" s="57" t="n">
        <f aca="false">'RAW DATA Q2 - 2'!EI3</f>
        <v>3</v>
      </c>
    </row>
    <row r="24" customFormat="false" ht="26.85" hidden="false" customHeight="false" outlineLevel="0" collapsed="false">
      <c r="A24" s="55" t="n">
        <v>18</v>
      </c>
      <c r="B24" s="55" t="s">
        <v>270</v>
      </c>
      <c r="C24" s="56" t="str">
        <f aca="false">'RAW DATA Q2 - 2'!EJ$1</f>
        <v>Monthly and weekly reports are submitted on time 
</v>
      </c>
      <c r="D24" s="57" t="n">
        <f aca="false">'RAW DATA Q2 - 2'!EJ3</f>
        <v>4</v>
      </c>
    </row>
    <row r="25" customFormat="false" ht="26.85" hidden="false" customHeight="false" outlineLevel="0" collapsed="false">
      <c r="A25" s="55" t="n">
        <v>19</v>
      </c>
      <c r="B25" s="55" t="s">
        <v>270</v>
      </c>
      <c r="C25" s="56" t="str">
        <f aca="false">'RAW DATA Q2 - 2'!EK$1</f>
        <v>Any cybersecurity incidents are reported to us within 4 hours of detection
</v>
      </c>
      <c r="D25" s="57" t="n">
        <f aca="false">'RAW DATA Q2 - 2'!EK3</f>
        <v>3</v>
      </c>
    </row>
    <row r="26" customFormat="false" ht="39.55" hidden="false" customHeight="false" outlineLevel="0" collapsed="false">
      <c r="A26" s="55" t="n">
        <v>20</v>
      </c>
      <c r="B26" s="55" t="s">
        <v>270</v>
      </c>
      <c r="C26" s="56" t="str">
        <f aca="false">'RAW DATA Q2 - 2'!EL$1</f>
        <v>Requests for system changes are followed up and completed within the agreed timeline
</v>
      </c>
      <c r="D26" s="57" t="n">
        <f aca="false">'RAW DATA Q2 - 2'!EL3</f>
        <v>3</v>
      </c>
    </row>
    <row r="27" customFormat="false" ht="15" hidden="false" customHeight="false" outlineLevel="0" collapsed="false">
      <c r="A27" s="58" t="n">
        <v>21</v>
      </c>
      <c r="B27" s="58" t="s">
        <v>271</v>
      </c>
      <c r="C27" s="59" t="str">
        <f aca="false">'RAW DATA Q2 - 2'!FM$1</f>
        <v>How would you rate the supplier's communication with you?</v>
      </c>
      <c r="D27" s="60" t="n">
        <f aca="false">'RAW DATA Q2 - 2'!FM3</f>
        <v>4</v>
      </c>
    </row>
    <row r="28" customFormat="false" ht="26.85" hidden="false" customHeight="false" outlineLevel="0" collapsed="false">
      <c r="A28" s="58" t="n">
        <v>22</v>
      </c>
      <c r="B28" s="58" t="s">
        <v>271</v>
      </c>
      <c r="C28" s="59" t="str">
        <f aca="false">'RAW DATA Q2 - 2'!FN$1</f>
        <v>How would you rate the supplier's PIC's availability to be contacted when needed?</v>
      </c>
      <c r="D28" s="60" t="n">
        <f aca="false">'RAW DATA Q2 - 2'!FN3</f>
        <v>4</v>
      </c>
    </row>
    <row r="29" customFormat="false" ht="39.55" hidden="false" customHeight="false" outlineLevel="0" collapsed="false">
      <c r="A29" s="58" t="n">
        <v>23</v>
      </c>
      <c r="B29" s="58" t="s">
        <v>271</v>
      </c>
      <c r="C29" s="59" t="str">
        <f aca="false">'RAW DATA Q2 - 2'!FO$1</f>
        <v>How would you rate the supplier's response speed to you when there are issues?
</v>
      </c>
      <c r="D29" s="60" t="n">
        <f aca="false">'RAW DATA Q2 - 2'!FO3</f>
        <v>4</v>
      </c>
    </row>
    <row r="31" customFormat="false" ht="15" hidden="false" customHeight="false" outlineLevel="0" collapsed="false">
      <c r="A31" s="50" t="s">
        <v>272</v>
      </c>
      <c r="B31" s="61" t="n">
        <f aca="false">AVERAGEIF(B7:B29,"Quality",D7:D29)</f>
        <v>3.41666666666667</v>
      </c>
    </row>
    <row r="32" customFormat="false" ht="15" hidden="false" customHeight="false" outlineLevel="0" collapsed="false">
      <c r="A32" s="50" t="s">
        <v>273</v>
      </c>
      <c r="B32" s="61" t="n">
        <f aca="false">AVERAGEIF(B7:B29,"Timeline",D7:D29)</f>
        <v>3</v>
      </c>
    </row>
    <row r="33" customFormat="false" ht="15" hidden="false" customHeight="false" outlineLevel="0" collapsed="false">
      <c r="A33" s="50" t="s">
        <v>274</v>
      </c>
      <c r="B33" s="61" t="n">
        <f aca="false">AVERAGEIF(B7:B29,"Relationship",D7:D29)</f>
        <v>4</v>
      </c>
    </row>
    <row r="34" customFormat="false" ht="15" hidden="false" customHeight="false" outlineLevel="0" collapsed="false">
      <c r="A34" s="50" t="s">
        <v>275</v>
      </c>
      <c r="B34" s="62" t="n">
        <f aca="false">B31*0.35+B32*0.35+B33*0.3</f>
        <v>3.44583333333333</v>
      </c>
    </row>
    <row r="35" customFormat="false" ht="15" hidden="false" customHeight="false" outlineLevel="0" collapsed="false">
      <c r="A35" s="50" t="s">
        <v>276</v>
      </c>
      <c r="B35" s="50" t="str">
        <f aca="false">IF(B34&gt;4.99,"Exceptional",IF(B34&gt;3.99,"Exceed Expectation",IF(B34&gt;=2.99,"Meet Expectation",IF(B34&gt;1.9,"Below Expectation","Unsatisfactory"))))</f>
        <v>Meet Expectation</v>
      </c>
    </row>
    <row r="37" customFormat="false" ht="15" hidden="false" customHeight="false" outlineLevel="0" collapsed="false">
      <c r="A37" s="63" t="s">
        <v>277</v>
      </c>
    </row>
    <row r="38" customFormat="false" ht="15" hidden="false" customHeight="false" outlineLevel="0" collapsed="false">
      <c r="A38" s="46" t="s">
        <v>278</v>
      </c>
      <c r="B38" s="64" t="str">
        <f aca="false">'RAW DATA Q2 - 2'!FP3</f>
        <v>Yes</v>
      </c>
    </row>
    <row r="39" customFormat="false" ht="15" hidden="false" customHeight="false" outlineLevel="0" collapsed="false">
      <c r="A39" s="46" t="s">
        <v>279</v>
      </c>
      <c r="B39" s="64" t="str">
        <f aca="false">'RAW DATA Q2 - 2'!FQ3</f>
        <v>Yes</v>
      </c>
    </row>
    <row r="40" customFormat="false" ht="41.75" hidden="false" customHeight="false" outlineLevel="0" collapsed="false">
      <c r="A40" s="46" t="s">
        <v>280</v>
      </c>
      <c r="B40" s="64" t="str">
        <f aca="false">'RAW DATA Q2 - 2'!FR3</f>
        <v>Yes, DPIA completed and there are actions to be done by Project Owner</v>
      </c>
    </row>
    <row r="41" customFormat="false" ht="28.35" hidden="false" customHeight="false" outlineLevel="0" collapsed="false">
      <c r="A41" s="46" t="s">
        <v>281</v>
      </c>
      <c r="B41" s="64" t="str">
        <f aca="false">'RAW DATA Q2 - 2'!FS3</f>
        <v>Yes, DPSQ not completed yet</v>
      </c>
    </row>
    <row r="42" customFormat="false" ht="41.75" hidden="false" customHeight="false" outlineLevel="0" collapsed="false">
      <c r="A42" s="46" t="s">
        <v>282</v>
      </c>
      <c r="B42" s="64" t="str">
        <f aca="false">'RAW DATA Q2 - 2'!FT3</f>
        <v>Yes, VSDDT completed and there are actions to be done by supplier</v>
      </c>
    </row>
    <row r="43" customFormat="false" ht="68.65" hidden="false" customHeight="false" outlineLevel="0" collapsed="false">
      <c r="A43" s="46" t="s">
        <v>283</v>
      </c>
      <c r="B43" s="64" t="str">
        <f aca="false">'RAW DATA Q2 - 2'!FU3</f>
        <v>Yes – Action items identified, but follow‑up and coordination with relevant SME is still required</v>
      </c>
    </row>
    <row r="45" customFormat="false" ht="15" hidden="false" customHeight="false" outlineLevel="0" collapsed="false">
      <c r="A45" s="63" t="s">
        <v>284</v>
      </c>
    </row>
    <row r="46" customFormat="false" ht="243.25" hidden="false" customHeight="false" outlineLevel="0" collapsed="false">
      <c r="B46" s="65" t="str">
        <f aca="false">'RAW DATA Q2 - 2'!FV3</f>
        <v>1. KPSG-ARSI Perspective (The approach applied is still limited to best practices without considering the scenarios occurring in AMFS).
2. Requirement Gap (There is a significant requirement gap due to missed requirements, caused by insufficient exploration of user needs and requirements)
3. Frequent Manpower (MP) and PIC Changes (Manpower changes occur quite frequently, while the implementation team is no longer on-site. The PIC from KPSG also changes often. It is requested that a dedicated PIC be provided for IT Support as well as a dedicated Project Manager)
4. Deployment Issues (Each deployment consistently results in new issues that impact areas outside the deployment scope. This indicates a lack of proper health checks after deployment).
5. Deployment Communication (Communication regarding deployment plans is still lacking, particularly in obtaining approval from business users. This matter has already been communicated by AMFS to the KPSG team).
6. Contact Center Experience (The team’s experience in contact center operations, especially inbound, remains limited).
7. Change Requests (CR) and Production Issues (Many CRs and production issues are delivered based on targets determined unilaterally by KPSG).
8. User Guide and Feature Socialization. (The User Guide is not well maintained. When new features are introduced, documentation should be updated immediately, socialized to users, and the latest User Guide shared to ensure optimal usage)</v>
      </c>
      <c r="C46" s="65"/>
      <c r="D46" s="65"/>
    </row>
  </sheetData>
  <mergeCells count="2">
    <mergeCell ref="A1:D1"/>
    <mergeCell ref="B46:D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191</v>
      </c>
    </row>
    <row r="3" customFormat="false" ht="15" hidden="false" customHeight="false" outlineLevel="0" collapsed="false">
      <c r="A3" s="50" t="s">
        <v>29</v>
      </c>
      <c r="B3" s="46" t="s">
        <v>190</v>
      </c>
    </row>
    <row r="4" customFormat="false" ht="15" hidden="false" customHeight="false" outlineLevel="0" collapsed="false">
      <c r="A4" s="50" t="s">
        <v>266</v>
      </c>
      <c r="B4" s="46" t="s">
        <v>257</v>
      </c>
    </row>
    <row r="6" customFormat="false" ht="15" hidden="false" customHeight="false" outlineLevel="0" collapsed="false">
      <c r="A6" s="51" t="s">
        <v>52</v>
      </c>
      <c r="B6" s="51" t="s">
        <v>267</v>
      </c>
      <c r="C6" s="51" t="s">
        <v>268</v>
      </c>
      <c r="D6" s="51" t="s">
        <v>37</v>
      </c>
    </row>
    <row r="7" customFormat="false" ht="15" hidden="false" customHeight="false" outlineLevel="0" collapsed="false">
      <c r="A7" s="52" t="n">
        <v>1</v>
      </c>
      <c r="B7" s="52" t="s">
        <v>269</v>
      </c>
      <c r="C7" s="53" t="str">
        <f aca="false">'RAW DATA Q2 - 2'!CZ$1</f>
        <v>The delivered solution met all agreed functional requirements</v>
      </c>
      <c r="D7" s="54" t="n">
        <f aca="false">'RAW DATA Q2 - 2'!CZ4</f>
        <v>4</v>
      </c>
    </row>
    <row r="8" customFormat="false" ht="26.85" hidden="false" customHeight="false" outlineLevel="0" collapsed="false">
      <c r="A8" s="52" t="n">
        <v>2</v>
      </c>
      <c r="B8" s="52" t="s">
        <v>269</v>
      </c>
      <c r="C8" s="53" t="str">
        <f aca="false">'RAW DATA Q2 - 2'!DA$1</f>
        <v>The system passed User Acceptance Testing (UAT) with minimal critical issues or rework needed</v>
      </c>
      <c r="D8" s="54" t="n">
        <f aca="false">'RAW DATA Q2 - 2'!DA4</f>
        <v>4</v>
      </c>
    </row>
    <row r="9" customFormat="false" ht="39.55" hidden="false" customHeight="false" outlineLevel="0" collapsed="false">
      <c r="A9" s="55" t="n">
        <v>3</v>
      </c>
      <c r="B9" s="55" t="s">
        <v>270</v>
      </c>
      <c r="C9" s="56" t="str">
        <f aca="false">'RAW DATA Q2 - 2'!DB$1</f>
        <v>Call recordings were accessible and properly linked within the agreed retention period
</v>
      </c>
      <c r="D9" s="57" t="n">
        <f aca="false">'RAW DATA Q2 - 2'!DB4</f>
        <v>4</v>
      </c>
    </row>
    <row r="10" customFormat="false" ht="39.55" hidden="false" customHeight="false" outlineLevel="0" collapsed="false">
      <c r="A10" s="52" t="n">
        <v>4</v>
      </c>
      <c r="B10" s="52" t="s">
        <v>269</v>
      </c>
      <c r="C10" s="53" t="str">
        <f aca="false">'RAW DATA Q2 - 2'!DC$1</f>
        <v>Reports and dashboards were accurate and matched AXA’s required format
</v>
      </c>
      <c r="D10" s="54" t="n">
        <f aca="false">'RAW DATA Q2 - 2'!DC4</f>
        <v>4</v>
      </c>
    </row>
    <row r="11" customFormat="false" ht="39.55" hidden="false" customHeight="false" outlineLevel="0" collapsed="false">
      <c r="A11" s="52" t="n">
        <v>5</v>
      </c>
      <c r="B11" s="52" t="s">
        <v>269</v>
      </c>
      <c r="C11" s="53" t="str">
        <f aca="false">'RAW DATA Q2 - 2'!DD$1</f>
        <v>Defects or bugs found during the warranty period were minimal and resolved promptly at no extra cost
</v>
      </c>
      <c r="D11" s="54" t="n">
        <f aca="false">'RAW DATA Q2 - 2'!DD4</f>
        <v>4</v>
      </c>
    </row>
    <row r="12" customFormat="false" ht="26.85" hidden="false" customHeight="false" outlineLevel="0" collapsed="false">
      <c r="A12" s="55" t="n">
        <v>6</v>
      </c>
      <c r="B12" s="55" t="s">
        <v>270</v>
      </c>
      <c r="C12" s="56" t="str">
        <f aca="false">'RAW DATA Q2 - 2'!DE$1</f>
        <v>Project documentation was complete, accurate, and submitted on time
</v>
      </c>
      <c r="D12" s="57" t="n">
        <f aca="false">'RAW DATA Q2 - 2'!DE4</f>
        <v>4</v>
      </c>
    </row>
    <row r="13" customFormat="false" ht="39.55" hidden="false" customHeight="false" outlineLevel="0" collapsed="false">
      <c r="A13" s="52" t="n">
        <v>7</v>
      </c>
      <c r="B13" s="52" t="s">
        <v>269</v>
      </c>
      <c r="C13" s="53" t="str">
        <f aca="false">'RAW DATA Q2 - 2'!DF$1</f>
        <v>Training provided was clear and sufficient for AXA’s team to operate independently
</v>
      </c>
      <c r="D13" s="54" t="n">
        <f aca="false">'RAW DATA Q2 - 2'!DF4</f>
        <v>2</v>
      </c>
    </row>
    <row r="14" customFormat="false" ht="39.55" hidden="false" customHeight="false" outlineLevel="0" collapsed="false">
      <c r="A14" s="52" t="n">
        <v>8</v>
      </c>
      <c r="B14" s="52" t="s">
        <v>269</v>
      </c>
      <c r="C14" s="53" t="str">
        <f aca="false">'RAW DATA Q2 - 2'!DG$1</f>
        <v>Overall, the quality of supplier work on the purecloud decommisioning project meets our expectations
</v>
      </c>
      <c r="D14" s="54" t="n">
        <f aca="false">'RAW DATA Q2 - 2'!DG4</f>
        <v>4</v>
      </c>
    </row>
    <row r="15" customFormat="false" ht="26.85" hidden="false" customHeight="false" outlineLevel="0" collapsed="false">
      <c r="A15" s="55" t="n">
        <v>9</v>
      </c>
      <c r="B15" s="55" t="s">
        <v>270</v>
      </c>
      <c r="C15" s="56" t="str">
        <f aca="false">'RAW DATA Q2 - 2'!EW$1</f>
        <v>The Planning &amp; Architecture phase was completed on schedule
</v>
      </c>
      <c r="D15" s="57" t="n">
        <f aca="false">'RAW DATA Q2 - 2'!EW4</f>
        <v>4</v>
      </c>
    </row>
    <row r="16" customFormat="false" ht="26.85" hidden="false" customHeight="false" outlineLevel="0" collapsed="false">
      <c r="A16" s="55" t="n">
        <v>10</v>
      </c>
      <c r="B16" s="55" t="s">
        <v>270</v>
      </c>
      <c r="C16" s="56" t="str">
        <f aca="false">'RAW DATA Q2 - 2'!EX$1</f>
        <v>The Build/Construction phase was completed on schedule
</v>
      </c>
      <c r="D16" s="57" t="n">
        <f aca="false">'RAW DATA Q2 - 2'!EX4</f>
        <v>4</v>
      </c>
    </row>
    <row r="17" customFormat="false" ht="26.85" hidden="false" customHeight="false" outlineLevel="0" collapsed="false">
      <c r="A17" s="55" t="n">
        <v>11</v>
      </c>
      <c r="B17" s="55" t="s">
        <v>270</v>
      </c>
      <c r="C17" s="56" t="str">
        <f aca="false">'RAW DATA Q2 - 2'!EY$1</f>
        <v>The Validation/UAT phase was completed on schedule
</v>
      </c>
      <c r="D17" s="57" t="n">
        <f aca="false">'RAW DATA Q2 - 2'!EY4</f>
        <v>4</v>
      </c>
    </row>
    <row r="18" customFormat="false" ht="26.85" hidden="false" customHeight="false" outlineLevel="0" collapsed="false">
      <c r="A18" s="55" t="n">
        <v>12</v>
      </c>
      <c r="B18" s="55" t="s">
        <v>270</v>
      </c>
      <c r="C18" s="56" t="str">
        <f aca="false">'RAW DATA Q2 - 2'!EZ$1</f>
        <v>The Deployment &amp; Go-Live phase was completed on schedule
</v>
      </c>
      <c r="D18" s="57" t="n">
        <f aca="false">'RAW DATA Q2 - 2'!EZ4</f>
        <v>4</v>
      </c>
    </row>
    <row r="19" customFormat="false" ht="39.55" hidden="false" customHeight="false" outlineLevel="0" collapsed="false">
      <c r="A19" s="55" t="n">
        <v>13</v>
      </c>
      <c r="B19" s="55" t="s">
        <v>270</v>
      </c>
      <c r="C19" s="56" t="str">
        <f aca="false">'RAW DATA Q2 - 2'!FA$1</f>
        <v>The supplier responded to reported issues within the agreed response time
</v>
      </c>
      <c r="D19" s="57" t="n">
        <f aca="false">'RAW DATA Q2 - 2'!FA4</f>
        <v>4</v>
      </c>
    </row>
    <row r="20" customFormat="false" ht="26.85" hidden="false" customHeight="false" outlineLevel="0" collapsed="false">
      <c r="A20" s="55" t="n">
        <v>14</v>
      </c>
      <c r="B20" s="55" t="s">
        <v>270</v>
      </c>
      <c r="C20" s="56" t="str">
        <f aca="false">'RAW DATA Q2 - 2'!FB$1</f>
        <v>The supplier resolved reported issues within the agreed resolution time
</v>
      </c>
      <c r="D20" s="57" t="n">
        <f aca="false">'RAW DATA Q2 - 2'!FB4</f>
        <v>4</v>
      </c>
    </row>
    <row r="21" customFormat="false" ht="39.55" hidden="false" customHeight="false" outlineLevel="0" collapsed="false">
      <c r="A21" s="55" t="n">
        <v>15</v>
      </c>
      <c r="B21" s="55" t="s">
        <v>270</v>
      </c>
      <c r="C21" s="56" t="str">
        <f aca="false">'RAW DATA Q2 - 2'!FC$1</f>
        <v>The project was completed without delays requiring AXA to invoke late penalties
</v>
      </c>
      <c r="D21" s="57" t="n">
        <f aca="false">'RAW DATA Q2 - 2'!FC4</f>
        <v>4</v>
      </c>
    </row>
    <row r="22" customFormat="false" ht="39.55" hidden="false" customHeight="false" outlineLevel="0" collapsed="false">
      <c r="A22" s="55" t="n">
        <v>16</v>
      </c>
      <c r="B22" s="55" t="s">
        <v>270</v>
      </c>
      <c r="C22" s="56" t="str">
        <f aca="false">'RAW DATA Q2 - 2'!FD$1</f>
        <v>The supplier proactively communicated whenever a milestone was at risk of delay
</v>
      </c>
      <c r="D22" s="57" t="n">
        <f aca="false">'RAW DATA Q2 - 2'!FD4</f>
        <v>4</v>
      </c>
    </row>
    <row r="23" customFormat="false" ht="15" hidden="false" customHeight="false" outlineLevel="0" collapsed="false">
      <c r="A23" s="58" t="n">
        <v>17</v>
      </c>
      <c r="B23" s="58" t="s">
        <v>271</v>
      </c>
      <c r="C23" s="59" t="str">
        <f aca="false">'RAW DATA Q2 - 2'!FM$1</f>
        <v>How would you rate the supplier's communication with you?</v>
      </c>
      <c r="D23" s="60" t="n">
        <f aca="false">'RAW DATA Q2 - 2'!FM4</f>
        <v>4</v>
      </c>
    </row>
    <row r="24" customFormat="false" ht="26.85" hidden="false" customHeight="false" outlineLevel="0" collapsed="false">
      <c r="A24" s="58" t="n">
        <v>18</v>
      </c>
      <c r="B24" s="58" t="s">
        <v>271</v>
      </c>
      <c r="C24" s="59" t="str">
        <f aca="false">'RAW DATA Q2 - 2'!FN$1</f>
        <v>How would you rate the supplier's PIC's availability to be contacted when needed?</v>
      </c>
      <c r="D24" s="60" t="n">
        <f aca="false">'RAW DATA Q2 - 2'!FN4</f>
        <v>4</v>
      </c>
    </row>
    <row r="25" customFormat="false" ht="39.55" hidden="false" customHeight="false" outlineLevel="0" collapsed="false">
      <c r="A25" s="58" t="n">
        <v>19</v>
      </c>
      <c r="B25" s="58" t="s">
        <v>271</v>
      </c>
      <c r="C25" s="59" t="str">
        <f aca="false">'RAW DATA Q2 - 2'!FO$1</f>
        <v>How would you rate the supplier's response speed to you when there are issues?
</v>
      </c>
      <c r="D25" s="60" t="n">
        <f aca="false">'RAW DATA Q2 - 2'!FO4</f>
        <v>4</v>
      </c>
    </row>
    <row r="27" customFormat="false" ht="15" hidden="false" customHeight="false" outlineLevel="0" collapsed="false">
      <c r="A27" s="50" t="s">
        <v>272</v>
      </c>
      <c r="B27" s="61" t="n">
        <f aca="false">AVERAGEIF(B7:B25,"Quality",D7:D25)</f>
        <v>3.66666666666667</v>
      </c>
    </row>
    <row r="28" customFormat="false" ht="15" hidden="false" customHeight="false" outlineLevel="0" collapsed="false">
      <c r="A28" s="50" t="s">
        <v>273</v>
      </c>
      <c r="B28" s="61" t="n">
        <f aca="false">AVERAGEIF(B7:B25,"Timeline",D7:D25)</f>
        <v>4</v>
      </c>
    </row>
    <row r="29" customFormat="false" ht="15" hidden="false" customHeight="false" outlineLevel="0" collapsed="false">
      <c r="A29" s="50" t="s">
        <v>274</v>
      </c>
      <c r="B29" s="61" t="n">
        <f aca="false">AVERAGEIF(B7:B25,"Relationship",D7:D25)</f>
        <v>4</v>
      </c>
    </row>
    <row r="30" customFormat="false" ht="15" hidden="false" customHeight="false" outlineLevel="0" collapsed="false">
      <c r="A30" s="50" t="s">
        <v>275</v>
      </c>
      <c r="B30" s="62" t="n">
        <f aca="false">B27*0.35+B28*0.35+B29*0.3</f>
        <v>3.88333333333333</v>
      </c>
    </row>
    <row r="31" customFormat="false" ht="15" hidden="false" customHeight="false" outlineLevel="0" collapsed="false">
      <c r="A31" s="50" t="s">
        <v>276</v>
      </c>
      <c r="B31" s="50" t="str">
        <f aca="false">IF(B30&gt;4.99,"Exceptional",IF(B30&gt;3.99,"Exceed Expectation",IF(B30&gt;=2.99,"Meet Expectation",IF(B30&gt;1.9,"Below Expectation","Unsatisfactory"))))</f>
        <v>Meet Expectation</v>
      </c>
    </row>
    <row r="33" customFormat="false" ht="15" hidden="false" customHeight="false" outlineLevel="0" collapsed="false">
      <c r="A33" s="63" t="s">
        <v>277</v>
      </c>
    </row>
    <row r="34" customFormat="false" ht="15" hidden="false" customHeight="false" outlineLevel="0" collapsed="false">
      <c r="A34" s="46" t="s">
        <v>278</v>
      </c>
      <c r="B34" s="64" t="str">
        <f aca="false">'RAW DATA Q2 - 2'!FP4</f>
        <v>Yes</v>
      </c>
    </row>
    <row r="35" customFormat="false" ht="15" hidden="false" customHeight="false" outlineLevel="0" collapsed="false">
      <c r="A35" s="46" t="s">
        <v>279</v>
      </c>
      <c r="B35" s="64" t="str">
        <f aca="false">'RAW DATA Q2 - 2'!FQ4</f>
        <v>Yes</v>
      </c>
    </row>
    <row r="36" customFormat="false" ht="41.75" hidden="false" customHeight="false" outlineLevel="0" collapsed="false">
      <c r="A36" s="46" t="s">
        <v>280</v>
      </c>
      <c r="B36" s="64" t="str">
        <f aca="false">'RAW DATA Q2 - 2'!FR4</f>
        <v>Yes, DPIA completed and there are actions to be done by Project Owner</v>
      </c>
    </row>
    <row r="37" customFormat="false" ht="15" hidden="false" customHeight="false" outlineLevel="0" collapsed="false">
      <c r="A37" s="46" t="s">
        <v>281</v>
      </c>
      <c r="B37" s="64" t="str">
        <f aca="false">'RAW DATA Q2 - 2'!FS4</f>
        <v>No Implementation</v>
      </c>
    </row>
    <row r="38" customFormat="false" ht="41.75" hidden="false" customHeight="false" outlineLevel="0" collapsed="false">
      <c r="A38" s="46" t="s">
        <v>282</v>
      </c>
      <c r="B38" s="64" t="str">
        <f aca="false">'RAW DATA Q2 - 2'!FT4</f>
        <v>Yes, VSDDT completed and there are actions to be done by supplier</v>
      </c>
    </row>
    <row r="39" customFormat="false" ht="68.65" hidden="false" customHeight="false" outlineLevel="0" collapsed="false">
      <c r="A39" s="46" t="s">
        <v>283</v>
      </c>
      <c r="B39" s="64" t="str">
        <f aca="false">'RAW DATA Q2 - 2'!FU4</f>
        <v>Yes – Action items identified, but follow‑up and coordination with relevant SME is still required</v>
      </c>
    </row>
    <row r="41" customFormat="false" ht="15" hidden="false" customHeight="false" outlineLevel="0" collapsed="false">
      <c r="A41" s="63" t="s">
        <v>284</v>
      </c>
    </row>
    <row r="42" customFormat="false" ht="135.8" hidden="false" customHeight="false" outlineLevel="0" collapsed="false">
      <c r="B42" s="65" t="str">
        <f aca="false">'RAW DATA Q2 - 2'!FV4</f>
        <v>1) Training Process  
During the training sessions, it is expected that explanations are delivered in detail and step by step. When participants are conducting hands-on activities, they should be properly provided with guidance and direct support. This is important to avoid unnecessary questions that could otherwise be answered clearly, ensuring that participants can immediately understand the changes and new features introduced.
2) “Baby Sitting” Phase
In the “baby sitting” phase, the MII team was expected to be present full day on-site at AMFS for two weeks. However, in practice, the team did not consistently attend and only joined full day after being specifically requested. As a result, the actual presence was only around five days instead of the full two weeks as originally required.</v>
      </c>
      <c r="C42" s="65"/>
      <c r="D42" s="65"/>
    </row>
  </sheetData>
  <mergeCells count="2">
    <mergeCell ref="A1:D1"/>
    <mergeCell ref="B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4" t="s">
        <v>265</v>
      </c>
      <c r="B1" s="24"/>
      <c r="C1" s="24"/>
      <c r="D1" s="24"/>
    </row>
    <row r="2" customFormat="false" ht="15" hidden="false" customHeight="false" outlineLevel="0" collapsed="false">
      <c r="A2" s="50" t="s">
        <v>28</v>
      </c>
      <c r="B2" s="46" t="s">
        <v>192</v>
      </c>
    </row>
    <row r="3" customFormat="false" ht="15" hidden="false" customHeight="false" outlineLevel="0" collapsed="false">
      <c r="A3" s="50" t="s">
        <v>29</v>
      </c>
      <c r="B3" s="46" t="s">
        <v>193</v>
      </c>
    </row>
    <row r="4" customFormat="false" ht="15" hidden="false" customHeight="false" outlineLevel="0" collapsed="false">
      <c r="A4" s="50" t="s">
        <v>266</v>
      </c>
      <c r="B4" s="46" t="s">
        <v>259</v>
      </c>
    </row>
    <row r="6" customFormat="false" ht="15" hidden="false" customHeight="false" outlineLevel="0" collapsed="false">
      <c r="A6" s="51" t="s">
        <v>52</v>
      </c>
      <c r="B6" s="51" t="s">
        <v>267</v>
      </c>
      <c r="C6" s="51" t="s">
        <v>268</v>
      </c>
      <c r="D6" s="51" t="s">
        <v>37</v>
      </c>
    </row>
    <row r="7" customFormat="false" ht="26.85" hidden="false" customHeight="false" outlineLevel="0" collapsed="false">
      <c r="A7" s="52" t="n">
        <v>1</v>
      </c>
      <c r="B7" s="52" t="s">
        <v>269</v>
      </c>
      <c r="C7" s="53" t="str">
        <f aca="false">'RAW DATA Q2 - 2'!DH$1</f>
        <v>How would you rate the assessment tools &amp; results (Group Report &amp; Individual Report) for Talent Acquisition/Talent Management needs</v>
      </c>
      <c r="D7" s="54" t="n">
        <f aca="false">'RAW DATA Q2 - 2'!DH6</f>
        <v>4</v>
      </c>
    </row>
    <row r="8" customFormat="false" ht="39.55" hidden="false" customHeight="false" outlineLevel="0" collapsed="false">
      <c r="A8" s="52" t="n">
        <v>2</v>
      </c>
      <c r="B8" s="52" t="s">
        <v>269</v>
      </c>
      <c r="C8" s="53" t="str">
        <f aca="false">'RAW DATA Q2 - 2'!DI$1</f>
        <v>Assessment tools (Psychometric Test, Verbal/Numerical/Abstract Reasoning, Personality Questionnaire, Competency Based Interview, etc.) are relevant and appropriate to participants’ level/grade</v>
      </c>
      <c r="D8" s="54" t="n">
        <f aca="false">'RAW DATA Q2 - 2'!DI6</f>
        <v>4</v>
      </c>
    </row>
    <row r="9" customFormat="false" ht="39.55" hidden="false" customHeight="false" outlineLevel="0" collapsed="false">
      <c r="A9" s="55" t="n">
        <v>3</v>
      </c>
      <c r="B9" s="55" t="s">
        <v>270</v>
      </c>
      <c r="C9" s="56" t="str">
        <f aca="false">'RAW DATA Q2 - 2'!DJ$1</f>
        <v>Assessment sessions (online and offline) are conducted in an orderly, professional manner and according to the agreed schedule
</v>
      </c>
      <c r="D9" s="57" t="n">
        <f aca="false">'RAW DATA Q2 - 2'!DJ6</f>
        <v>5</v>
      </c>
    </row>
    <row r="10" customFormat="false" ht="52.2" hidden="false" customHeight="false" outlineLevel="0" collapsed="false">
      <c r="A10" s="52" t="n">
        <v>4</v>
      </c>
      <c r="B10" s="52" t="s">
        <v>269</v>
      </c>
      <c r="C10" s="53" t="str">
        <f aca="false">'RAW DATA Q2 - 2'!DK$1</f>
        <v>SHL maintains the confidentiality and security of assessment participants’ Personal Data in accordance with the privacy provisions in the Agreement
</v>
      </c>
      <c r="D10" s="54" t="n">
        <f aca="false">'RAW DATA Q2 - 2'!DK6</f>
        <v>5</v>
      </c>
    </row>
    <row r="11" customFormat="false" ht="39.55" hidden="false" customHeight="false" outlineLevel="0" collapsed="false">
      <c r="A11" s="52" t="n">
        <v>5</v>
      </c>
      <c r="B11" s="52" t="s">
        <v>269</v>
      </c>
      <c r="C11" s="53" t="str">
        <f aca="false">'RAW DATA Q2 - 2'!DL$1</f>
        <v>There are no administrative errors (participant data, grade, test type) throughout the process from Booking Form submission to report delivery
</v>
      </c>
      <c r="D11" s="54" t="n">
        <f aca="false">'RAW DATA Q2 - 2'!DL6</f>
        <v>4</v>
      </c>
    </row>
    <row r="12" customFormat="false" ht="39.55" hidden="false" customHeight="false" outlineLevel="0" collapsed="false">
      <c r="A12" s="52" t="n">
        <v>6</v>
      </c>
      <c r="B12" s="52" t="s">
        <v>269</v>
      </c>
      <c r="C12" s="53" t="str">
        <f aca="false">'RAW DATA Q2 - 2'!DM$1</f>
        <v>SHL proactively coordinates when there is a potential dispute or issue before it impacts participants/AXA
</v>
      </c>
      <c r="D12" s="54" t="n">
        <f aca="false">'RAW DATA Q2 - 2'!DM6</f>
        <v>4</v>
      </c>
    </row>
    <row r="13" customFormat="false" ht="39.55" hidden="false" customHeight="false" outlineLevel="0" collapsed="false">
      <c r="A13" s="52" t="n">
        <v>7</v>
      </c>
      <c r="B13" s="52" t="s">
        <v>269</v>
      </c>
      <c r="C13" s="53" t="str">
        <f aca="false">'RAW DATA Q2 - 2'!DN$1</f>
        <v>Overall, the quality of supplier work on the talent assesment project meets our expectations
</v>
      </c>
      <c r="D13" s="54" t="n">
        <f aca="false">'RAW DATA Q2 - 2'!DN6</f>
        <v>4</v>
      </c>
    </row>
    <row r="14" customFormat="false" ht="39.55" hidden="false" customHeight="false" outlineLevel="0" collapsed="false">
      <c r="A14" s="55" t="n">
        <v>8</v>
      </c>
      <c r="B14" s="55" t="s">
        <v>270</v>
      </c>
      <c r="C14" s="56" t="str">
        <f aca="false">'RAW DATA Q2 - 2'!FE$1</f>
        <v>Booking Forms for Talent Acquisition assessments are processed on the same Business Day if received before 16.30 WIB
</v>
      </c>
      <c r="D14" s="57" t="n">
        <f aca="false">'RAW DATA Q2 - 2'!FE6</f>
        <v>5</v>
      </c>
    </row>
    <row r="15" customFormat="false" ht="39.55" hidden="false" customHeight="false" outlineLevel="0" collapsed="false">
      <c r="A15" s="55" t="n">
        <v>9</v>
      </c>
      <c r="B15" s="55" t="s">
        <v>270</v>
      </c>
      <c r="C15" s="56" t="str">
        <f aca="false">'RAW DATA Q2 - 2'!FF$1</f>
        <v>Booking Forms for Talent Management assessments are responded to on the same Business Day for further scheduling
</v>
      </c>
      <c r="D15" s="57" t="n">
        <f aca="false">'RAW DATA Q2 - 2'!FF6</f>
        <v>5</v>
      </c>
    </row>
    <row r="16" customFormat="false" ht="39.55" hidden="false" customHeight="false" outlineLevel="0" collapsed="false">
      <c r="A16" s="55" t="n">
        <v>10</v>
      </c>
      <c r="B16" s="55" t="s">
        <v>270</v>
      </c>
      <c r="C16" s="56" t="str">
        <f aca="false">'RAW DATA Q2 - 2'!FG$1</f>
        <v>Individual Reports for Talent Acquisition assessments are delivered within H+1 Business Day after the assessment is completed
</v>
      </c>
      <c r="D16" s="57" t="n">
        <f aca="false">'RAW DATA Q2 - 2'!FG6</f>
        <v>5</v>
      </c>
    </row>
    <row r="17" customFormat="false" ht="39.55" hidden="false" customHeight="false" outlineLevel="0" collapsed="false">
      <c r="A17" s="55" t="n">
        <v>11</v>
      </c>
      <c r="B17" s="55" t="s">
        <v>270</v>
      </c>
      <c r="C17" s="56" t="str">
        <f aca="false">'RAW DATA Q2 - 2'!FH$1</f>
        <v>Recap Reports for Talent Acquisition assessments are delivered within H+3 Business Days after the assessment is completed
</v>
      </c>
      <c r="D17" s="57" t="n">
        <f aca="false">'RAW DATA Q2 - 2'!FH6</f>
        <v>5</v>
      </c>
    </row>
    <row r="18" customFormat="false" ht="39.55" hidden="false" customHeight="false" outlineLevel="0" collapsed="false">
      <c r="A18" s="55" t="n">
        <v>12</v>
      </c>
      <c r="B18" s="55" t="s">
        <v>270</v>
      </c>
      <c r="C18" s="56" t="str">
        <f aca="false">'RAW DATA Q2 - 2'!FI$1</f>
        <v>Recap Reports for Talent Management assessments are delivered within H+5 Business Days after the assessment is completed
</v>
      </c>
      <c r="D18" s="57" t="n">
        <f aca="false">'RAW DATA Q2 - 2'!FI6</f>
        <v>5</v>
      </c>
    </row>
    <row r="19" customFormat="false" ht="39.55" hidden="false" customHeight="false" outlineLevel="0" collapsed="false">
      <c r="A19" s="55" t="n">
        <v>13</v>
      </c>
      <c r="B19" s="55" t="s">
        <v>270</v>
      </c>
      <c r="C19" s="56" t="str">
        <f aca="false">'RAW DATA Q2 - 2'!FJ$1</f>
        <v>Individual Reports for Talent Management assessments are delivered within H+10 Business Days after the assessment is completed
</v>
      </c>
      <c r="D19" s="57" t="n">
        <f aca="false">'RAW DATA Q2 - 2'!FJ6</f>
        <v>5</v>
      </c>
    </row>
    <row r="20" customFormat="false" ht="39.55" hidden="false" customHeight="false" outlineLevel="0" collapsed="false">
      <c r="A20" s="55" t="n">
        <v>14</v>
      </c>
      <c r="B20" s="55" t="s">
        <v>270</v>
      </c>
      <c r="C20" s="56" t="str">
        <f aca="false">'RAW DATA Q2 - 2'!FK$1</f>
        <v>SHL's helpdesk operates and is reachable within the committed service hours (Monday–Friday, 08.00–17.00 WIB).
</v>
      </c>
      <c r="D20" s="57" t="n">
        <f aca="false">'RAW DATA Q2 - 2'!FK6</f>
        <v>5</v>
      </c>
    </row>
    <row r="21" customFormat="false" ht="39.55" hidden="false" customHeight="false" outlineLevel="0" collapsed="false">
      <c r="A21" s="55" t="n">
        <v>15</v>
      </c>
      <c r="B21" s="55" t="s">
        <v>270</v>
      </c>
      <c r="C21" s="56" t="str">
        <f aca="false">'RAW DATA Q2 - 2'!FL$1</f>
        <v>Overall, SHL is consistent in meeting all the time commitments agreed under this Agreement
</v>
      </c>
      <c r="D21" s="57" t="n">
        <f aca="false">'RAW DATA Q2 - 2'!FL6</f>
        <v>5</v>
      </c>
    </row>
    <row r="22" customFormat="false" ht="15" hidden="false" customHeight="false" outlineLevel="0" collapsed="false">
      <c r="A22" s="58" t="n">
        <v>16</v>
      </c>
      <c r="B22" s="58" t="s">
        <v>271</v>
      </c>
      <c r="C22" s="59" t="str">
        <f aca="false">'RAW DATA Q2 - 2'!FM$1</f>
        <v>How would you rate the supplier's communication with you?</v>
      </c>
      <c r="D22" s="60" t="n">
        <f aca="false">'RAW DATA Q2 - 2'!FM6</f>
        <v>5</v>
      </c>
    </row>
    <row r="23" customFormat="false" ht="26.85" hidden="false" customHeight="false" outlineLevel="0" collapsed="false">
      <c r="A23" s="58" t="n">
        <v>17</v>
      </c>
      <c r="B23" s="58" t="s">
        <v>271</v>
      </c>
      <c r="C23" s="59" t="str">
        <f aca="false">'RAW DATA Q2 - 2'!FN$1</f>
        <v>How would you rate the supplier's PIC's availability to be contacted when needed?</v>
      </c>
      <c r="D23" s="60" t="n">
        <f aca="false">'RAW DATA Q2 - 2'!FN6</f>
        <v>5</v>
      </c>
    </row>
    <row r="24" customFormat="false" ht="39.55" hidden="false" customHeight="false" outlineLevel="0" collapsed="false">
      <c r="A24" s="58" t="n">
        <v>18</v>
      </c>
      <c r="B24" s="58" t="s">
        <v>271</v>
      </c>
      <c r="C24" s="59" t="str">
        <f aca="false">'RAW DATA Q2 - 2'!FO$1</f>
        <v>How would you rate the supplier's response speed to you when there are issues?
</v>
      </c>
      <c r="D24" s="60" t="n">
        <f aca="false">'RAW DATA Q2 - 2'!FO6</f>
        <v>4</v>
      </c>
    </row>
    <row r="26" customFormat="false" ht="15" hidden="false" customHeight="false" outlineLevel="0" collapsed="false">
      <c r="A26" s="50" t="s">
        <v>272</v>
      </c>
      <c r="B26" s="61" t="n">
        <f aca="false">AVERAGEIF(B7:B24,"Quality",D7:D24)</f>
        <v>4.16666666666667</v>
      </c>
    </row>
    <row r="27" customFormat="false" ht="15" hidden="false" customHeight="false" outlineLevel="0" collapsed="false">
      <c r="A27" s="50" t="s">
        <v>273</v>
      </c>
      <c r="B27" s="61" t="n">
        <f aca="false">AVERAGEIF(B7:B24,"Timeline",D7:D24)</f>
        <v>5</v>
      </c>
    </row>
    <row r="28" customFormat="false" ht="15" hidden="false" customHeight="false" outlineLevel="0" collapsed="false">
      <c r="A28" s="50" t="s">
        <v>274</v>
      </c>
      <c r="B28" s="61" t="n">
        <f aca="false">AVERAGEIF(B7:B24,"Relationship",D7:D24)</f>
        <v>4.66666666666667</v>
      </c>
    </row>
    <row r="29" customFormat="false" ht="15" hidden="false" customHeight="false" outlineLevel="0" collapsed="false">
      <c r="A29" s="50" t="s">
        <v>275</v>
      </c>
      <c r="B29" s="62" t="n">
        <f aca="false">B26*0.35+B27*0.35+B28*0.3</f>
        <v>4.60833333333333</v>
      </c>
    </row>
    <row r="30" customFormat="false" ht="15" hidden="false" customHeight="false" outlineLevel="0" collapsed="false">
      <c r="A30" s="50" t="s">
        <v>276</v>
      </c>
      <c r="B30" s="50" t="str">
        <f aca="false">IF(B29&gt;4.99,"Exceptional",IF(B29&gt;3.99,"Exceed Expectation",IF(B29&gt;=2.99,"Meet Expectation",IF(B29&gt;1.9,"Below Expectation","Unsatisfactory"))))</f>
        <v>Exceed Expectation</v>
      </c>
    </row>
    <row r="32" customFormat="false" ht="15" hidden="false" customHeight="false" outlineLevel="0" collapsed="false">
      <c r="A32" s="63" t="s">
        <v>277</v>
      </c>
    </row>
    <row r="33" customFormat="false" ht="15" hidden="false" customHeight="false" outlineLevel="0" collapsed="false">
      <c r="A33" s="46" t="s">
        <v>278</v>
      </c>
      <c r="B33" s="64" t="str">
        <f aca="false">'RAW DATA Q2 - 2'!FP6</f>
        <v>Yes</v>
      </c>
    </row>
    <row r="34" customFormat="false" ht="15" hidden="false" customHeight="false" outlineLevel="0" collapsed="false">
      <c r="A34" s="46" t="s">
        <v>279</v>
      </c>
      <c r="B34" s="64" t="str">
        <f aca="false">'RAW DATA Q2 - 2'!FQ6</f>
        <v>Yes</v>
      </c>
    </row>
    <row r="35" customFormat="false" ht="41.75" hidden="false" customHeight="false" outlineLevel="0" collapsed="false">
      <c r="A35" s="46" t="s">
        <v>280</v>
      </c>
      <c r="B35" s="64" t="str">
        <f aca="false">'RAW DATA Q2 - 2'!FR6</f>
        <v>Yes, DPIA completed and there are actions to be done by Project Owner</v>
      </c>
    </row>
    <row r="36" customFormat="false" ht="15" hidden="false" customHeight="false" outlineLevel="0" collapsed="false">
      <c r="A36" s="46" t="s">
        <v>281</v>
      </c>
      <c r="B36" s="64" t="str">
        <f aca="false">'RAW DATA Q2 - 2'!FS6</f>
        <v>No Implementation</v>
      </c>
    </row>
    <row r="37" customFormat="false" ht="15" hidden="false" customHeight="false" outlineLevel="0" collapsed="false">
      <c r="A37" s="46" t="s">
        <v>282</v>
      </c>
      <c r="B37" s="64" t="str">
        <f aca="false">'RAW DATA Q2 - 2'!FT6</f>
        <v>No Implementation</v>
      </c>
    </row>
    <row r="38" customFormat="false" ht="28.35" hidden="false" customHeight="false" outlineLevel="0" collapsed="false">
      <c r="A38" s="46" t="s">
        <v>283</v>
      </c>
      <c r="B38" s="64" t="str">
        <f aca="false">'RAW DATA Q2 - 2'!FU6</f>
        <v>No – No action items were required</v>
      </c>
    </row>
    <row r="40" customFormat="false" ht="15" hidden="false" customHeight="false" outlineLevel="0" collapsed="false">
      <c r="A40" s="63" t="s">
        <v>284</v>
      </c>
    </row>
    <row r="41" customFormat="false" ht="15" hidden="false" customHeight="false" outlineLevel="0" collapsed="false">
      <c r="B41" s="65" t="str">
        <f aca="false">'RAW DATA Q2 - 2'!FV6</f>
        <v>N/A</v>
      </c>
      <c r="C41" s="65"/>
      <c r="D41" s="65"/>
    </row>
  </sheetData>
  <mergeCells count="2">
    <mergeCell ref="A1:D1"/>
    <mergeCell ref="B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FU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55.2" hidden="false" customHeight="false" outlineLevel="0" collapsed="false">
      <c r="A1" s="0" t="s">
        <v>294</v>
      </c>
      <c r="B1" s="0" t="s">
        <v>295</v>
      </c>
      <c r="C1" s="0" t="s">
        <v>296</v>
      </c>
      <c r="D1" s="0" t="s">
        <v>297</v>
      </c>
      <c r="E1" s="0" t="s">
        <v>298</v>
      </c>
      <c r="F1" s="0" t="s">
        <v>299</v>
      </c>
      <c r="G1" s="0" t="s">
        <v>300</v>
      </c>
      <c r="H1" s="0" t="s">
        <v>301</v>
      </c>
      <c r="I1" s="0" t="s">
        <v>302</v>
      </c>
      <c r="J1" s="0" t="s">
        <v>303</v>
      </c>
      <c r="K1" s="0" t="s">
        <v>304</v>
      </c>
      <c r="L1" s="0" t="s">
        <v>305</v>
      </c>
      <c r="M1" s="0" t="s">
        <v>306</v>
      </c>
      <c r="N1" s="0" t="s">
        <v>307</v>
      </c>
      <c r="O1" s="0" t="s">
        <v>308</v>
      </c>
      <c r="P1" s="0" t="s">
        <v>309</v>
      </c>
      <c r="Q1" s="0" t="s">
        <v>310</v>
      </c>
      <c r="R1" s="0" t="s">
        <v>311</v>
      </c>
      <c r="S1" s="0" t="s">
        <v>312</v>
      </c>
      <c r="T1" s="0" t="s">
        <v>313</v>
      </c>
      <c r="U1" s="0" t="s">
        <v>314</v>
      </c>
      <c r="V1" s="0" t="s">
        <v>315</v>
      </c>
      <c r="W1" s="0" t="s">
        <v>316</v>
      </c>
      <c r="X1" s="0" t="s">
        <v>317</v>
      </c>
      <c r="Y1" s="0" t="s">
        <v>318</v>
      </c>
      <c r="Z1" s="0" t="s">
        <v>319</v>
      </c>
      <c r="AA1" s="0" t="s">
        <v>320</v>
      </c>
      <c r="AB1" s="0" t="s">
        <v>321</v>
      </c>
      <c r="AC1" s="0" t="s">
        <v>322</v>
      </c>
      <c r="AD1" s="0" t="s">
        <v>323</v>
      </c>
      <c r="AE1" s="0" t="s">
        <v>324</v>
      </c>
      <c r="AF1" s="0" t="s">
        <v>325</v>
      </c>
      <c r="AG1" s="0" t="s">
        <v>326</v>
      </c>
      <c r="AH1" s="0" t="s">
        <v>327</v>
      </c>
      <c r="AI1" s="0" t="s">
        <v>328</v>
      </c>
      <c r="AJ1" s="0" t="s">
        <v>329</v>
      </c>
      <c r="AK1" s="0" t="s">
        <v>330</v>
      </c>
      <c r="AL1" s="0" t="s">
        <v>331</v>
      </c>
      <c r="AM1" s="0" t="s">
        <v>332</v>
      </c>
      <c r="AN1" s="0" t="s">
        <v>333</v>
      </c>
      <c r="AO1" s="0" t="s">
        <v>334</v>
      </c>
      <c r="AP1" s="0" t="s">
        <v>335</v>
      </c>
      <c r="AQ1" s="0" t="s">
        <v>336</v>
      </c>
      <c r="AR1" s="0" t="s">
        <v>337</v>
      </c>
      <c r="AS1" s="0" t="s">
        <v>338</v>
      </c>
      <c r="AT1" s="0" t="s">
        <v>339</v>
      </c>
      <c r="AU1" s="0" t="s">
        <v>340</v>
      </c>
      <c r="AV1" s="0" t="s">
        <v>341</v>
      </c>
      <c r="AW1" s="0" t="s">
        <v>342</v>
      </c>
      <c r="AX1" s="0" t="s">
        <v>343</v>
      </c>
      <c r="AY1" s="0" t="s">
        <v>344</v>
      </c>
      <c r="AZ1" s="0" t="s">
        <v>345</v>
      </c>
      <c r="BA1" s="0" t="s">
        <v>346</v>
      </c>
      <c r="BB1" s="0" t="s">
        <v>347</v>
      </c>
      <c r="BC1" s="0" t="s">
        <v>348</v>
      </c>
      <c r="BD1" s="0" t="s">
        <v>349</v>
      </c>
      <c r="BE1" s="0" t="s">
        <v>350</v>
      </c>
      <c r="BF1" s="0" t="s">
        <v>351</v>
      </c>
      <c r="BG1" s="0" t="s">
        <v>352</v>
      </c>
      <c r="BH1" s="0" t="s">
        <v>353</v>
      </c>
      <c r="BI1" s="0" t="s">
        <v>354</v>
      </c>
      <c r="BJ1" s="0" t="s">
        <v>355</v>
      </c>
      <c r="BK1" s="0" t="s">
        <v>356</v>
      </c>
      <c r="BL1" s="0" t="s">
        <v>357</v>
      </c>
      <c r="BM1" s="0" t="s">
        <v>358</v>
      </c>
      <c r="BN1" s="0" t="s">
        <v>359</v>
      </c>
      <c r="BO1" s="0" t="s">
        <v>360</v>
      </c>
      <c r="BP1" s="0" t="s">
        <v>361</v>
      </c>
      <c r="BQ1" s="0" t="s">
        <v>362</v>
      </c>
      <c r="BR1" s="0" t="s">
        <v>363</v>
      </c>
      <c r="BS1" s="0" t="s">
        <v>364</v>
      </c>
      <c r="BT1" s="0" t="s">
        <v>365</v>
      </c>
      <c r="BU1" s="0" t="s">
        <v>366</v>
      </c>
      <c r="BV1" s="0" t="s">
        <v>367</v>
      </c>
      <c r="BW1" s="0" t="s">
        <v>368</v>
      </c>
      <c r="BX1" s="0" t="s">
        <v>369</v>
      </c>
      <c r="BY1" s="0" t="s">
        <v>370</v>
      </c>
      <c r="BZ1" s="0" t="s">
        <v>371</v>
      </c>
      <c r="CA1" s="0" t="s">
        <v>372</v>
      </c>
      <c r="CB1" s="0" t="s">
        <v>373</v>
      </c>
      <c r="CC1" s="0" t="s">
        <v>374</v>
      </c>
      <c r="CD1" s="0" t="s">
        <v>375</v>
      </c>
      <c r="CE1" s="0" t="s">
        <v>376</v>
      </c>
      <c r="CF1" s="0" t="s">
        <v>377</v>
      </c>
      <c r="CG1" s="0" t="s">
        <v>378</v>
      </c>
      <c r="CH1" s="0" t="s">
        <v>379</v>
      </c>
      <c r="CI1" s="0" t="s">
        <v>380</v>
      </c>
      <c r="CJ1" s="0" t="s">
        <v>381</v>
      </c>
      <c r="CK1" s="0" t="s">
        <v>382</v>
      </c>
      <c r="CL1" s="0" t="s">
        <v>383</v>
      </c>
      <c r="CM1" s="0" t="s">
        <v>384</v>
      </c>
      <c r="CN1" s="0" t="s">
        <v>385</v>
      </c>
      <c r="CO1" s="0" t="s">
        <v>386</v>
      </c>
      <c r="CP1" s="0" t="s">
        <v>387</v>
      </c>
      <c r="CQ1" s="0" t="s">
        <v>388</v>
      </c>
      <c r="CR1" s="0" t="s">
        <v>389</v>
      </c>
      <c r="CS1" s="0" t="s">
        <v>390</v>
      </c>
      <c r="CT1" s="0" t="s">
        <v>391</v>
      </c>
      <c r="CU1" s="0" t="s">
        <v>392</v>
      </c>
      <c r="CV1" s="0" t="s">
        <v>393</v>
      </c>
      <c r="CW1" s="0" t="s">
        <v>394</v>
      </c>
      <c r="CX1" s="0" t="s">
        <v>395</v>
      </c>
      <c r="CY1" s="0" t="s">
        <v>396</v>
      </c>
      <c r="CZ1" s="0" t="s">
        <v>397</v>
      </c>
      <c r="DA1" s="0" t="s">
        <v>398</v>
      </c>
      <c r="DB1" s="0" t="s">
        <v>399</v>
      </c>
      <c r="DC1" s="0" t="s">
        <v>400</v>
      </c>
      <c r="DD1" s="0" t="s">
        <v>401</v>
      </c>
      <c r="DE1" s="0" t="s">
        <v>402</v>
      </c>
      <c r="DF1" s="0" t="s">
        <v>403</v>
      </c>
      <c r="DG1" s="0" t="s">
        <v>404</v>
      </c>
      <c r="DH1" s="0" t="s">
        <v>405</v>
      </c>
      <c r="DI1" s="0" t="s">
        <v>406</v>
      </c>
      <c r="DJ1" s="0" t="s">
        <v>407</v>
      </c>
      <c r="DK1" s="0" t="s">
        <v>408</v>
      </c>
      <c r="DL1" s="0" t="s">
        <v>409</v>
      </c>
      <c r="DM1" s="0" t="s">
        <v>410</v>
      </c>
      <c r="DN1" s="0" t="s">
        <v>411</v>
      </c>
      <c r="DO1" s="0" t="s">
        <v>412</v>
      </c>
      <c r="DP1" s="0" t="s">
        <v>413</v>
      </c>
      <c r="DQ1" s="0" t="s">
        <v>414</v>
      </c>
      <c r="DR1" s="0" t="s">
        <v>415</v>
      </c>
      <c r="DS1" s="0" t="s">
        <v>416</v>
      </c>
      <c r="DT1" s="0" t="s">
        <v>417</v>
      </c>
      <c r="DU1" s="0" t="s">
        <v>418</v>
      </c>
      <c r="DV1" s="0" t="s">
        <v>419</v>
      </c>
      <c r="DW1" s="0" t="s">
        <v>420</v>
      </c>
      <c r="DX1" s="0" t="s">
        <v>421</v>
      </c>
      <c r="DY1" s="0" t="s">
        <v>422</v>
      </c>
      <c r="DZ1" s="0" t="s">
        <v>423</v>
      </c>
      <c r="EA1" s="0" t="s">
        <v>424</v>
      </c>
      <c r="EB1" s="0" t="s">
        <v>425</v>
      </c>
      <c r="EC1" s="0" t="s">
        <v>426</v>
      </c>
      <c r="ED1" s="0" t="s">
        <v>427</v>
      </c>
      <c r="EE1" s="0" t="s">
        <v>428</v>
      </c>
      <c r="EF1" s="0" t="s">
        <v>429</v>
      </c>
      <c r="EG1" s="0" t="s">
        <v>430</v>
      </c>
      <c r="EH1" s="0" t="s">
        <v>431</v>
      </c>
      <c r="EI1" s="0" t="s">
        <v>432</v>
      </c>
      <c r="EJ1" s="0" t="s">
        <v>433</v>
      </c>
      <c r="EK1" s="0" t="s">
        <v>434</v>
      </c>
      <c r="EL1" s="68" t="s">
        <v>435</v>
      </c>
      <c r="EM1" s="0" t="s">
        <v>436</v>
      </c>
      <c r="EN1" s="0" t="s">
        <v>437</v>
      </c>
      <c r="EO1" s="68" t="s">
        <v>438</v>
      </c>
      <c r="EP1" s="0" t="s">
        <v>439</v>
      </c>
      <c r="EQ1" s="0" t="s">
        <v>440</v>
      </c>
      <c r="ER1" s="68" t="s">
        <v>441</v>
      </c>
      <c r="ES1" s="0" t="s">
        <v>442</v>
      </c>
      <c r="ET1" s="0" t="s">
        <v>443</v>
      </c>
      <c r="EU1" s="0" t="s">
        <v>444</v>
      </c>
      <c r="EV1" s="0" t="s">
        <v>445</v>
      </c>
      <c r="EW1" s="0" t="s">
        <v>446</v>
      </c>
      <c r="EX1" s="0" t="s">
        <v>447</v>
      </c>
      <c r="EY1" s="68" t="s">
        <v>448</v>
      </c>
      <c r="EZ1" s="68" t="s">
        <v>449</v>
      </c>
      <c r="FA1" s="68" t="s">
        <v>450</v>
      </c>
      <c r="FB1" s="0" t="s">
        <v>451</v>
      </c>
      <c r="FC1" s="68" t="s">
        <v>452</v>
      </c>
      <c r="FD1" s="68" t="s">
        <v>453</v>
      </c>
      <c r="FE1" s="68" t="s">
        <v>454</v>
      </c>
      <c r="FF1" s="0" t="s">
        <v>455</v>
      </c>
      <c r="FG1" s="0" t="s">
        <v>456</v>
      </c>
      <c r="FH1" s="0" t="s">
        <v>457</v>
      </c>
      <c r="FI1" s="0" t="s">
        <v>458</v>
      </c>
      <c r="FJ1" s="0" t="s">
        <v>459</v>
      </c>
      <c r="FK1" s="0" t="s">
        <v>460</v>
      </c>
      <c r="FL1" s="0" t="s">
        <v>461</v>
      </c>
      <c r="FM1" s="0" t="s">
        <v>462</v>
      </c>
      <c r="FN1" s="0" t="s">
        <v>463</v>
      </c>
      <c r="FO1" s="68" t="s">
        <v>464</v>
      </c>
      <c r="FP1" s="0" t="s">
        <v>465</v>
      </c>
      <c r="FQ1" s="0" t="s">
        <v>466</v>
      </c>
      <c r="FR1" s="0" t="s">
        <v>467</v>
      </c>
      <c r="FS1" s="0" t="s">
        <v>468</v>
      </c>
      <c r="FT1" s="0" t="s">
        <v>469</v>
      </c>
      <c r="FU1" s="0" t="s">
        <v>470</v>
      </c>
    </row>
    <row r="2" customFormat="false" ht="15" hidden="false" customHeight="false" outlineLevel="0" collapsed="false">
      <c r="A2" s="0" t="n">
        <v>1</v>
      </c>
      <c r="B2" s="69" t="n">
        <v>46204.4056944445</v>
      </c>
      <c r="C2" s="69" t="n">
        <v>46204.555462963</v>
      </c>
      <c r="D2" s="45" t="s">
        <v>471</v>
      </c>
      <c r="E2" s="45" t="s">
        <v>236</v>
      </c>
      <c r="F2" s="45" t="s">
        <v>472</v>
      </c>
      <c r="G2" s="45" t="s">
        <v>473</v>
      </c>
      <c r="BX2" s="0" t="n">
        <v>4</v>
      </c>
      <c r="BY2" s="0" t="n">
        <v>4</v>
      </c>
      <c r="BZ2" s="0" t="n">
        <v>4</v>
      </c>
      <c r="CA2" s="0" t="n">
        <v>4</v>
      </c>
      <c r="CB2" s="0" t="n">
        <v>4</v>
      </c>
      <c r="CC2" s="0" t="n">
        <v>4</v>
      </c>
      <c r="CD2" s="0" t="n">
        <v>4</v>
      </c>
      <c r="CE2" s="0" t="n">
        <v>4</v>
      </c>
      <c r="CF2" s="0" t="n">
        <v>4</v>
      </c>
      <c r="CG2" s="0" t="n">
        <v>4</v>
      </c>
      <c r="CH2" s="0" t="n">
        <v>4</v>
      </c>
      <c r="CI2" s="0" t="n">
        <v>4</v>
      </c>
      <c r="CJ2" s="0" t="n">
        <v>4</v>
      </c>
      <c r="CK2" s="0" t="n">
        <v>4</v>
      </c>
      <c r="CL2" s="0" t="n">
        <v>4</v>
      </c>
      <c r="CM2" s="0" t="n">
        <v>4</v>
      </c>
      <c r="CN2" s="0" t="n">
        <v>4</v>
      </c>
      <c r="CO2" s="0" t="n">
        <v>4</v>
      </c>
      <c r="CP2" s="0" t="n">
        <v>4</v>
      </c>
      <c r="CQ2" s="0" t="n">
        <v>4</v>
      </c>
      <c r="CR2" s="0" t="n">
        <v>4</v>
      </c>
      <c r="CS2" s="0" t="n">
        <v>4</v>
      </c>
      <c r="CT2" s="0" t="n">
        <v>4</v>
      </c>
      <c r="CU2" s="0" t="n">
        <v>4</v>
      </c>
      <c r="CV2" s="0" t="n">
        <v>4</v>
      </c>
      <c r="CW2" s="0" t="n">
        <v>4</v>
      </c>
      <c r="CX2" s="0" t="n">
        <v>4</v>
      </c>
      <c r="CY2" s="0" t="n">
        <v>4</v>
      </c>
      <c r="CZ2" s="0" t="n">
        <v>4</v>
      </c>
      <c r="DA2" s="0" t="n">
        <v>4</v>
      </c>
      <c r="DB2" s="0" t="n">
        <v>4</v>
      </c>
      <c r="DC2" s="0" t="n">
        <v>4</v>
      </c>
      <c r="DD2" s="0" t="n">
        <v>4</v>
      </c>
      <c r="DE2" s="0" t="n">
        <v>4</v>
      </c>
      <c r="DF2" s="0" t="n">
        <v>4</v>
      </c>
      <c r="DG2" s="0" t="n">
        <v>4</v>
      </c>
      <c r="DH2" s="0" t="n">
        <v>4</v>
      </c>
      <c r="EU2" s="0" t="n">
        <v>4</v>
      </c>
      <c r="EV2" s="0" t="n">
        <v>4</v>
      </c>
      <c r="EW2" s="0" t="n">
        <v>4</v>
      </c>
      <c r="FM2" s="0" t="n">
        <v>4</v>
      </c>
      <c r="FN2" s="0" t="n">
        <v>4</v>
      </c>
      <c r="FO2" s="0" t="n">
        <v>4</v>
      </c>
      <c r="FP2" s="45" t="s">
        <v>474</v>
      </c>
      <c r="FQ2" s="45" t="s">
        <v>474</v>
      </c>
      <c r="FR2" s="45" t="s">
        <v>475</v>
      </c>
      <c r="FS2" s="45" t="s">
        <v>476</v>
      </c>
      <c r="FT2" s="45" t="s">
        <v>477</v>
      </c>
      <c r="FU2" s="45" t="s">
        <v>478</v>
      </c>
    </row>
    <row r="3" customFormat="false" ht="15" hidden="false" customHeight="false" outlineLevel="0" collapsed="false">
      <c r="A3" s="0" t="n">
        <v>2</v>
      </c>
      <c r="B3" s="69" t="n">
        <v>46204.7017592593</v>
      </c>
      <c r="C3" s="69" t="n">
        <v>46204.8796412037</v>
      </c>
      <c r="D3" s="45" t="s">
        <v>479</v>
      </c>
      <c r="E3" s="45" t="s">
        <v>227</v>
      </c>
      <c r="F3" s="45" t="s">
        <v>480</v>
      </c>
      <c r="G3" s="45" t="s">
        <v>481</v>
      </c>
      <c r="H3" s="0" t="n">
        <v>3</v>
      </c>
      <c r="I3" s="0" t="n">
        <v>3</v>
      </c>
      <c r="J3" s="0" t="n">
        <v>4</v>
      </c>
      <c r="K3" s="0" t="n">
        <v>4</v>
      </c>
      <c r="L3" s="0" t="n">
        <v>4</v>
      </c>
      <c r="M3" s="0" t="n">
        <v>4</v>
      </c>
      <c r="N3" s="0" t="n">
        <v>4</v>
      </c>
      <c r="O3" s="0" t="n">
        <v>3</v>
      </c>
      <c r="P3" s="0" t="n">
        <v>3</v>
      </c>
      <c r="Q3" s="0" t="n">
        <v>4</v>
      </c>
      <c r="R3" s="0" t="n">
        <v>4</v>
      </c>
      <c r="S3" s="0" t="n">
        <v>4</v>
      </c>
      <c r="T3" s="0" t="n">
        <v>4</v>
      </c>
      <c r="U3" s="0" t="n">
        <v>4</v>
      </c>
      <c r="V3" s="0" t="n">
        <v>4</v>
      </c>
      <c r="W3" s="0" t="n">
        <v>4</v>
      </c>
      <c r="X3" s="0" t="n">
        <v>4</v>
      </c>
      <c r="Y3" s="0" t="n">
        <v>3</v>
      </c>
      <c r="Z3" s="0" t="n">
        <v>3</v>
      </c>
      <c r="EU3" s="0" t="n">
        <v>3</v>
      </c>
      <c r="EV3" s="0" t="n">
        <v>3</v>
      </c>
      <c r="EW3" s="0" t="n">
        <v>3</v>
      </c>
      <c r="FM3" s="0" t="n">
        <v>4</v>
      </c>
      <c r="FN3" s="0" t="n">
        <v>4</v>
      </c>
      <c r="FO3" s="0" t="n">
        <v>3</v>
      </c>
      <c r="FP3" s="45" t="s">
        <v>474</v>
      </c>
      <c r="FQ3" s="45" t="s">
        <v>474</v>
      </c>
      <c r="FR3" s="45" t="s">
        <v>482</v>
      </c>
      <c r="FS3" s="45" t="s">
        <v>476</v>
      </c>
      <c r="FT3" s="45" t="s">
        <v>482</v>
      </c>
      <c r="FU3" s="45" t="s">
        <v>483</v>
      </c>
    </row>
    <row r="4" customFormat="false" ht="15" hidden="false" customHeight="false" outlineLevel="0" collapsed="false">
      <c r="A4" s="0" t="n">
        <v>3</v>
      </c>
      <c r="B4" s="69" t="n">
        <v>46205.6210416667</v>
      </c>
      <c r="C4" s="69" t="n">
        <v>46205.6295601852</v>
      </c>
      <c r="D4" s="45" t="s">
        <v>484</v>
      </c>
      <c r="E4" s="45" t="s">
        <v>233</v>
      </c>
      <c r="F4" s="45" t="s">
        <v>485</v>
      </c>
      <c r="G4" s="45" t="s">
        <v>486</v>
      </c>
      <c r="EF4" s="0" t="n">
        <v>3</v>
      </c>
      <c r="EG4" s="0" t="n">
        <v>3</v>
      </c>
      <c r="EH4" s="0" t="n">
        <v>3</v>
      </c>
      <c r="EI4" s="0" t="n">
        <v>3</v>
      </c>
      <c r="EJ4" s="0" t="n">
        <v>2</v>
      </c>
      <c r="EK4" s="0" t="n">
        <v>3</v>
      </c>
      <c r="EU4" s="0" t="n">
        <v>3</v>
      </c>
      <c r="EV4" s="0" t="n">
        <v>3</v>
      </c>
      <c r="EW4" s="0" t="n">
        <v>3</v>
      </c>
      <c r="FM4" s="0" t="n">
        <v>3</v>
      </c>
      <c r="FN4" s="0" t="n">
        <v>3</v>
      </c>
      <c r="FO4" s="0" t="n">
        <v>3</v>
      </c>
      <c r="FP4" s="45" t="s">
        <v>474</v>
      </c>
      <c r="FQ4" s="45" t="s">
        <v>474</v>
      </c>
      <c r="FR4" s="45" t="s">
        <v>475</v>
      </c>
      <c r="FS4" s="45" t="s">
        <v>482</v>
      </c>
      <c r="FT4" s="45" t="s">
        <v>477</v>
      </c>
      <c r="FU4" s="45" t="s">
        <v>487</v>
      </c>
    </row>
    <row r="5" customFormat="false" ht="15" hidden="false" customHeight="false" outlineLevel="0" collapsed="false">
      <c r="A5" s="0" t="n">
        <v>4</v>
      </c>
      <c r="B5" s="69" t="n">
        <v>46205.6472800926</v>
      </c>
      <c r="C5" s="69" t="n">
        <v>46205.6512384259</v>
      </c>
      <c r="D5" s="45" t="s">
        <v>488</v>
      </c>
      <c r="E5" s="45" t="s">
        <v>219</v>
      </c>
      <c r="F5" s="45" t="s">
        <v>489</v>
      </c>
      <c r="G5" s="45" t="s">
        <v>285</v>
      </c>
      <c r="AA5" s="0" t="n">
        <v>3</v>
      </c>
      <c r="AB5" s="0" t="n">
        <v>3</v>
      </c>
      <c r="AC5" s="0" t="n">
        <v>3</v>
      </c>
      <c r="AD5" s="0" t="n">
        <v>3</v>
      </c>
      <c r="AE5" s="0" t="n">
        <v>3</v>
      </c>
      <c r="AF5" s="0" t="n">
        <v>3</v>
      </c>
      <c r="AG5" s="0" t="n">
        <v>3</v>
      </c>
      <c r="AH5" s="0" t="n">
        <v>3</v>
      </c>
      <c r="AI5" s="0" t="n">
        <v>3</v>
      </c>
      <c r="AJ5" s="0" t="n">
        <v>3</v>
      </c>
      <c r="AK5" s="0" t="n">
        <v>3</v>
      </c>
      <c r="EX5" s="0" t="n">
        <v>3</v>
      </c>
      <c r="EY5" s="0" t="n">
        <v>3</v>
      </c>
      <c r="EZ5" s="0" t="n">
        <v>3</v>
      </c>
      <c r="FA5" s="0" t="n">
        <v>3</v>
      </c>
      <c r="FM5" s="0" t="n">
        <v>3</v>
      </c>
      <c r="FN5" s="0" t="n">
        <v>3</v>
      </c>
      <c r="FO5" s="0" t="n">
        <v>3</v>
      </c>
      <c r="FP5" s="45" t="s">
        <v>474</v>
      </c>
      <c r="FQ5" s="45" t="s">
        <v>474</v>
      </c>
      <c r="FR5" s="45" t="s">
        <v>475</v>
      </c>
      <c r="FS5" s="45" t="s">
        <v>490</v>
      </c>
      <c r="FT5" s="45" t="s">
        <v>477</v>
      </c>
      <c r="FU5" s="45" t="s">
        <v>491</v>
      </c>
    </row>
    <row r="6" customFormat="false" ht="15" hidden="false" customHeight="false" outlineLevel="0" collapsed="false">
      <c r="A6" s="0" t="n">
        <v>5</v>
      </c>
      <c r="B6" s="69" t="n">
        <v>46205.6519097222</v>
      </c>
      <c r="C6" s="69" t="n">
        <v>46205.6560300926</v>
      </c>
      <c r="D6" s="45" t="s">
        <v>488</v>
      </c>
      <c r="E6" s="45" t="s">
        <v>219</v>
      </c>
      <c r="F6" s="45" t="s">
        <v>489</v>
      </c>
      <c r="G6" s="45" t="s">
        <v>492</v>
      </c>
      <c r="DI6" s="0" t="n">
        <v>3</v>
      </c>
      <c r="DJ6" s="0" t="n">
        <v>3</v>
      </c>
      <c r="DK6" s="0" t="n">
        <v>3</v>
      </c>
      <c r="DL6" s="0" t="n">
        <v>3</v>
      </c>
      <c r="DM6" s="0" t="n">
        <v>3</v>
      </c>
      <c r="DN6" s="0" t="n">
        <v>3</v>
      </c>
      <c r="DO6" s="0" t="n">
        <v>3</v>
      </c>
      <c r="DP6" s="0" t="n">
        <v>3</v>
      </c>
      <c r="DQ6" s="0" t="n">
        <v>3</v>
      </c>
      <c r="DR6" s="0" t="n">
        <v>3</v>
      </c>
      <c r="DS6" s="0" t="n">
        <v>3</v>
      </c>
      <c r="DT6" s="0" t="n">
        <v>3</v>
      </c>
      <c r="DU6" s="0" t="n">
        <v>3</v>
      </c>
      <c r="DV6" s="0" t="n">
        <v>3</v>
      </c>
      <c r="DW6" s="0" t="n">
        <v>3</v>
      </c>
      <c r="FJ6" s="0" t="n">
        <v>3</v>
      </c>
      <c r="FK6" s="0" t="n">
        <v>3</v>
      </c>
      <c r="FL6" s="0" t="n">
        <v>3</v>
      </c>
      <c r="FM6" s="0" t="n">
        <v>3</v>
      </c>
      <c r="FN6" s="0" t="n">
        <v>3</v>
      </c>
      <c r="FO6" s="0" t="n">
        <v>3</v>
      </c>
      <c r="FP6" s="45" t="s">
        <v>474</v>
      </c>
      <c r="FQ6" s="45" t="s">
        <v>474</v>
      </c>
      <c r="FR6" s="45" t="s">
        <v>475</v>
      </c>
      <c r="FS6" s="45" t="s">
        <v>490</v>
      </c>
      <c r="FT6" s="45" t="s">
        <v>477</v>
      </c>
      <c r="FU6" s="45" t="s">
        <v>493</v>
      </c>
    </row>
    <row r="7" customFormat="false" ht="68.65" hidden="false" customHeight="false" outlineLevel="0" collapsed="false">
      <c r="A7" s="0" t="n">
        <v>6</v>
      </c>
      <c r="B7" s="69" t="n">
        <v>46206.3529282407</v>
      </c>
      <c r="C7" s="69" t="n">
        <v>46206.5037731482</v>
      </c>
      <c r="D7" s="45" t="s">
        <v>494</v>
      </c>
      <c r="E7" s="45" t="s">
        <v>288</v>
      </c>
      <c r="F7" s="45" t="s">
        <v>495</v>
      </c>
      <c r="G7" s="45" t="s">
        <v>492</v>
      </c>
      <c r="DI7" s="0" t="n">
        <v>4</v>
      </c>
      <c r="DJ7" s="0" t="n">
        <v>2</v>
      </c>
      <c r="DK7" s="0" t="n">
        <v>3</v>
      </c>
      <c r="DL7" s="0" t="n">
        <v>3</v>
      </c>
      <c r="DM7" s="0" t="n">
        <v>2</v>
      </c>
      <c r="DN7" s="0" t="n">
        <v>4</v>
      </c>
      <c r="DO7" s="0" t="n">
        <v>3</v>
      </c>
      <c r="DP7" s="0" t="n">
        <v>3</v>
      </c>
      <c r="DQ7" s="0" t="n">
        <v>2</v>
      </c>
      <c r="DR7" s="0" t="n">
        <v>2</v>
      </c>
      <c r="DS7" s="0" t="n">
        <v>2</v>
      </c>
      <c r="DT7" s="0" t="n">
        <v>4</v>
      </c>
      <c r="DU7" s="0" t="n">
        <v>3</v>
      </c>
      <c r="DV7" s="0" t="n">
        <v>4</v>
      </c>
      <c r="DW7" s="0" t="n">
        <v>3</v>
      </c>
      <c r="FJ7" s="0" t="n">
        <v>2</v>
      </c>
      <c r="FK7" s="0" t="n">
        <v>4</v>
      </c>
      <c r="FL7" s="0" t="n">
        <v>3</v>
      </c>
      <c r="FM7" s="0" t="n">
        <v>5</v>
      </c>
      <c r="FN7" s="0" t="n">
        <v>5</v>
      </c>
      <c r="FO7" s="0" t="n">
        <v>4</v>
      </c>
      <c r="FP7" s="45" t="s">
        <v>52</v>
      </c>
      <c r="FQ7" s="45" t="s">
        <v>474</v>
      </c>
      <c r="FR7" s="45" t="s">
        <v>482</v>
      </c>
      <c r="FS7" s="45" t="s">
        <v>482</v>
      </c>
      <c r="FT7" s="45" t="s">
        <v>482</v>
      </c>
      <c r="FU7" s="68" t="s">
        <v>496</v>
      </c>
    </row>
    <row r="8" customFormat="false" ht="15" hidden="false" customHeight="false" outlineLevel="0" collapsed="false">
      <c r="A8" s="0" t="n">
        <v>7</v>
      </c>
      <c r="B8" s="69" t="n">
        <v>46209.5576851852</v>
      </c>
      <c r="C8" s="69" t="n">
        <v>46209.5849652778</v>
      </c>
      <c r="D8" s="45" t="s">
        <v>497</v>
      </c>
      <c r="E8" s="45" t="s">
        <v>212</v>
      </c>
      <c r="F8" s="45" t="s">
        <v>498</v>
      </c>
      <c r="G8" s="45" t="s">
        <v>499</v>
      </c>
      <c r="EL8" s="0" t="n">
        <v>4</v>
      </c>
      <c r="EM8" s="0" t="n">
        <v>4</v>
      </c>
      <c r="EN8" s="0" t="n">
        <v>4</v>
      </c>
      <c r="EU8" s="0" t="n">
        <v>4</v>
      </c>
      <c r="EV8" s="0" t="n">
        <v>4</v>
      </c>
      <c r="EW8" s="0" t="n">
        <v>4</v>
      </c>
      <c r="FM8" s="0" t="n">
        <v>4</v>
      </c>
      <c r="FN8" s="0" t="n">
        <v>4</v>
      </c>
      <c r="FO8" s="0" t="n">
        <v>4</v>
      </c>
      <c r="FP8" s="45" t="s">
        <v>474</v>
      </c>
      <c r="FQ8" s="45" t="s">
        <v>474</v>
      </c>
      <c r="FR8" s="45" t="s">
        <v>475</v>
      </c>
      <c r="FS8" s="45" t="s">
        <v>482</v>
      </c>
      <c r="FT8" s="45" t="s">
        <v>477</v>
      </c>
      <c r="FU8" s="45" t="s">
        <v>89</v>
      </c>
    </row>
    <row r="9" customFormat="false" ht="15" hidden="false" customHeight="false" outlineLevel="0" collapsed="false">
      <c r="A9" s="0" t="n">
        <v>8</v>
      </c>
      <c r="B9" s="69" t="n">
        <v>46209.5850925926</v>
      </c>
      <c r="C9" s="69" t="n">
        <v>46209.5856481482</v>
      </c>
      <c r="D9" s="45" t="s">
        <v>497</v>
      </c>
      <c r="E9" s="45" t="s">
        <v>212</v>
      </c>
      <c r="F9" s="45" t="s">
        <v>498</v>
      </c>
      <c r="G9" s="45" t="s">
        <v>500</v>
      </c>
      <c r="EO9" s="0" t="n">
        <v>4</v>
      </c>
      <c r="EP9" s="0" t="n">
        <v>4</v>
      </c>
      <c r="EQ9" s="0" t="n">
        <v>4</v>
      </c>
      <c r="EU9" s="0" t="n">
        <v>4</v>
      </c>
      <c r="EV9" s="0" t="n">
        <v>4</v>
      </c>
      <c r="EW9" s="0" t="n">
        <v>4</v>
      </c>
      <c r="FM9" s="0" t="n">
        <v>4</v>
      </c>
      <c r="FN9" s="0" t="n">
        <v>4</v>
      </c>
      <c r="FO9" s="0" t="n">
        <v>4</v>
      </c>
      <c r="FP9" s="45" t="s">
        <v>474</v>
      </c>
      <c r="FQ9" s="45" t="s">
        <v>474</v>
      </c>
      <c r="FR9" s="45" t="s">
        <v>475</v>
      </c>
      <c r="FS9" s="45" t="s">
        <v>482</v>
      </c>
      <c r="FT9" s="45" t="s">
        <v>477</v>
      </c>
      <c r="FU9" s="45" t="s">
        <v>89</v>
      </c>
    </row>
    <row r="10" customFormat="false" ht="15" hidden="false" customHeight="false" outlineLevel="0" collapsed="false">
      <c r="A10" s="0" t="n">
        <v>9</v>
      </c>
      <c r="B10" s="69" t="n">
        <v>46209.5857291667</v>
      </c>
      <c r="C10" s="69" t="n">
        <v>46209.5862384259</v>
      </c>
      <c r="D10" s="45" t="s">
        <v>497</v>
      </c>
      <c r="E10" s="45" t="s">
        <v>212</v>
      </c>
      <c r="F10" s="45" t="s">
        <v>498</v>
      </c>
      <c r="G10" s="45" t="s">
        <v>501</v>
      </c>
      <c r="ER10" s="0" t="n">
        <v>3</v>
      </c>
      <c r="ES10" s="0" t="n">
        <v>3</v>
      </c>
      <c r="ET10" s="0" t="n">
        <v>3</v>
      </c>
      <c r="EU10" s="0" t="n">
        <v>3</v>
      </c>
      <c r="EV10" s="0" t="n">
        <v>3</v>
      </c>
      <c r="EW10" s="0" t="n">
        <v>3</v>
      </c>
      <c r="FM10" s="0" t="n">
        <v>3</v>
      </c>
      <c r="FN10" s="0" t="n">
        <v>3</v>
      </c>
      <c r="FO10" s="0" t="n">
        <v>3</v>
      </c>
      <c r="FP10" s="45" t="s">
        <v>474</v>
      </c>
      <c r="FQ10" s="45" t="s">
        <v>474</v>
      </c>
      <c r="FR10" s="45" t="s">
        <v>475</v>
      </c>
      <c r="FS10" s="45" t="s">
        <v>482</v>
      </c>
      <c r="FT10" s="45" t="s">
        <v>477</v>
      </c>
      <c r="FU10" s="45" t="s">
        <v>89</v>
      </c>
    </row>
    <row r="11" customFormat="false" ht="15" hidden="false" customHeight="false" outlineLevel="0" collapsed="false">
      <c r="A11" s="0" t="n">
        <v>10</v>
      </c>
      <c r="B11" s="69" t="n">
        <v>46209.5835300926</v>
      </c>
      <c r="C11" s="69" t="n">
        <v>46209.5875347222</v>
      </c>
      <c r="D11" s="45" t="s">
        <v>262</v>
      </c>
      <c r="E11" s="45" t="s">
        <v>217</v>
      </c>
      <c r="F11" s="45" t="s">
        <v>502</v>
      </c>
      <c r="G11" s="45" t="s">
        <v>503</v>
      </c>
      <c r="DX11" s="0" t="n">
        <v>3</v>
      </c>
      <c r="DY11" s="0" t="n">
        <v>4</v>
      </c>
      <c r="DZ11" s="0" t="n">
        <v>3</v>
      </c>
      <c r="EA11" s="0" t="n">
        <v>3</v>
      </c>
      <c r="EB11" s="0" t="n">
        <v>3</v>
      </c>
      <c r="EC11" s="0" t="n">
        <v>3</v>
      </c>
      <c r="ED11" s="0" t="n">
        <v>3</v>
      </c>
      <c r="EE11" s="0" t="n">
        <v>3</v>
      </c>
      <c r="EU11" s="0" t="n">
        <v>3</v>
      </c>
      <c r="EV11" s="0" t="n">
        <v>3</v>
      </c>
      <c r="EW11" s="0" t="n">
        <v>3</v>
      </c>
      <c r="FM11" s="0" t="n">
        <v>3</v>
      </c>
      <c r="FN11" s="0" t="n">
        <v>3</v>
      </c>
      <c r="FO11" s="0" t="n">
        <v>3</v>
      </c>
      <c r="FP11" s="45" t="s">
        <v>474</v>
      </c>
      <c r="FQ11" s="45" t="s">
        <v>474</v>
      </c>
      <c r="FR11" s="45" t="s">
        <v>475</v>
      </c>
      <c r="FS11" s="45" t="s">
        <v>482</v>
      </c>
      <c r="FT11" s="45" t="s">
        <v>477</v>
      </c>
      <c r="FU11" s="45" t="s">
        <v>504</v>
      </c>
    </row>
    <row r="12" customFormat="false" ht="15" hidden="false" customHeight="false" outlineLevel="0" collapsed="false">
      <c r="A12" s="0" t="n">
        <v>11</v>
      </c>
      <c r="B12" s="69" t="n">
        <v>46209.5877083333</v>
      </c>
      <c r="C12" s="69" t="n">
        <v>46209.5905902778</v>
      </c>
      <c r="D12" s="45" t="s">
        <v>262</v>
      </c>
      <c r="E12" s="45" t="s">
        <v>217</v>
      </c>
      <c r="F12" s="45" t="s">
        <v>502</v>
      </c>
      <c r="G12" s="45" t="s">
        <v>505</v>
      </c>
      <c r="AY12" s="0" t="n">
        <v>3</v>
      </c>
      <c r="AZ12" s="0" t="n">
        <v>3</v>
      </c>
      <c r="BA12" s="0" t="n">
        <v>3</v>
      </c>
      <c r="BB12" s="0" t="n">
        <v>3</v>
      </c>
      <c r="BC12" s="0" t="n">
        <v>3</v>
      </c>
      <c r="BD12" s="0" t="n">
        <v>3</v>
      </c>
      <c r="BE12" s="0" t="n">
        <v>3</v>
      </c>
      <c r="BF12" s="0" t="n">
        <v>3</v>
      </c>
      <c r="BG12" s="0" t="n">
        <v>3</v>
      </c>
      <c r="BH12" s="0" t="n">
        <v>3</v>
      </c>
      <c r="BI12" s="0" t="n">
        <v>3</v>
      </c>
      <c r="FB12" s="0" t="n">
        <v>3</v>
      </c>
      <c r="FC12" s="0" t="n">
        <v>3</v>
      </c>
      <c r="FD12" s="0" t="n">
        <v>3</v>
      </c>
      <c r="FE12" s="0" t="n">
        <v>3</v>
      </c>
      <c r="FM12" s="0" t="n">
        <v>3</v>
      </c>
      <c r="FN12" s="0" t="n">
        <v>3</v>
      </c>
      <c r="FO12" s="0" t="n">
        <v>3</v>
      </c>
      <c r="FP12" s="45" t="s">
        <v>474</v>
      </c>
      <c r="FQ12" s="45" t="s">
        <v>474</v>
      </c>
      <c r="FR12" s="45" t="s">
        <v>475</v>
      </c>
      <c r="FS12" s="45" t="s">
        <v>490</v>
      </c>
      <c r="FT12" s="45" t="s">
        <v>477</v>
      </c>
      <c r="FU12" s="45" t="s">
        <v>506</v>
      </c>
    </row>
    <row r="13" customFormat="false" ht="15" hidden="false" customHeight="false" outlineLevel="0" collapsed="false">
      <c r="A13" s="0" t="n">
        <v>12</v>
      </c>
      <c r="B13" s="69" t="n">
        <v>46209.6030208333</v>
      </c>
      <c r="C13" s="69" t="n">
        <v>46209.6091435185</v>
      </c>
      <c r="D13" s="45" t="s">
        <v>507</v>
      </c>
      <c r="E13" s="45" t="s">
        <v>230</v>
      </c>
      <c r="F13" s="45" t="s">
        <v>508</v>
      </c>
      <c r="G13" s="45" t="s">
        <v>509</v>
      </c>
      <c r="BJ13" s="0" t="n">
        <v>4</v>
      </c>
      <c r="BK13" s="0" t="n">
        <v>4</v>
      </c>
      <c r="BL13" s="0" t="n">
        <v>4</v>
      </c>
      <c r="BM13" s="0" t="n">
        <v>4</v>
      </c>
      <c r="BN13" s="0" t="n">
        <v>4</v>
      </c>
      <c r="BO13" s="0" t="n">
        <v>4</v>
      </c>
      <c r="BP13" s="0" t="n">
        <v>4</v>
      </c>
      <c r="BQ13" s="0" t="n">
        <v>4</v>
      </c>
      <c r="BR13" s="0" t="n">
        <v>4</v>
      </c>
      <c r="BS13" s="0" t="n">
        <v>4</v>
      </c>
      <c r="BT13" s="0" t="n">
        <v>4</v>
      </c>
      <c r="BU13" s="0" t="n">
        <v>4</v>
      </c>
      <c r="BV13" s="0" t="n">
        <v>4</v>
      </c>
      <c r="BW13" s="0" t="n">
        <v>4</v>
      </c>
      <c r="FF13" s="0" t="n">
        <v>4</v>
      </c>
      <c r="FG13" s="0" t="n">
        <v>4</v>
      </c>
      <c r="FH13" s="0" t="n">
        <v>4</v>
      </c>
      <c r="FI13" s="0" t="n">
        <v>4</v>
      </c>
      <c r="FM13" s="0" t="n">
        <v>5</v>
      </c>
      <c r="FN13" s="0" t="n">
        <v>5</v>
      </c>
      <c r="FO13" s="0" t="n">
        <v>5</v>
      </c>
      <c r="FP13" s="45" t="s">
        <v>474</v>
      </c>
      <c r="FQ13" s="45" t="s">
        <v>474</v>
      </c>
      <c r="FR13" s="45" t="s">
        <v>475</v>
      </c>
      <c r="FS13" s="45" t="s">
        <v>482</v>
      </c>
      <c r="FT13" s="45" t="s">
        <v>477</v>
      </c>
      <c r="FU13" s="45" t="s">
        <v>510</v>
      </c>
    </row>
    <row r="14" customFormat="false" ht="15" hidden="false" customHeight="false" outlineLevel="0" collapsed="false">
      <c r="A14" s="0" t="n">
        <v>13</v>
      </c>
      <c r="B14" s="69" t="n">
        <v>46211.5992013889</v>
      </c>
      <c r="C14" s="69" t="n">
        <v>46211.621724537</v>
      </c>
      <c r="D14" s="45" t="s">
        <v>511</v>
      </c>
      <c r="E14" s="45" t="s">
        <v>238</v>
      </c>
      <c r="F14" s="45" t="s">
        <v>512</v>
      </c>
      <c r="G14" s="45" t="s">
        <v>513</v>
      </c>
      <c r="AL14" s="0" t="n">
        <v>4</v>
      </c>
      <c r="AM14" s="0" t="n">
        <v>5</v>
      </c>
      <c r="AN14" s="0" t="n">
        <v>5</v>
      </c>
      <c r="AO14" s="0" t="n">
        <v>5</v>
      </c>
      <c r="AP14" s="0" t="n">
        <v>5</v>
      </c>
      <c r="AQ14" s="0" t="n">
        <v>4</v>
      </c>
      <c r="AR14" s="0" t="n">
        <v>5</v>
      </c>
      <c r="AS14" s="0" t="n">
        <v>4</v>
      </c>
      <c r="AT14" s="0" t="n">
        <v>5</v>
      </c>
      <c r="AU14" s="0" t="n">
        <v>4</v>
      </c>
      <c r="AV14" s="0" t="n">
        <v>5</v>
      </c>
      <c r="AW14" s="0" t="n">
        <v>4</v>
      </c>
      <c r="AX14" s="0" t="n">
        <v>5</v>
      </c>
      <c r="EU14" s="0" t="n">
        <v>4</v>
      </c>
      <c r="EV14" s="0" t="n">
        <v>5</v>
      </c>
      <c r="EW14" s="0" t="n">
        <v>5</v>
      </c>
      <c r="FM14" s="0" t="n">
        <v>5</v>
      </c>
      <c r="FN14" s="0" t="n">
        <v>5</v>
      </c>
      <c r="FO14" s="0" t="n">
        <v>5</v>
      </c>
      <c r="FP14" s="45" t="s">
        <v>474</v>
      </c>
      <c r="FQ14" s="45" t="s">
        <v>474</v>
      </c>
      <c r="FR14" s="45" t="s">
        <v>475</v>
      </c>
      <c r="FS14" s="45" t="s">
        <v>482</v>
      </c>
      <c r="FT14" s="45" t="s">
        <v>477</v>
      </c>
      <c r="FU14" s="45" t="s">
        <v>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FV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28.35" hidden="false" customHeight="false" outlineLevel="0" collapsed="false">
      <c r="A1" s="0" t="s">
        <v>294</v>
      </c>
      <c r="B1" s="0" t="s">
        <v>295</v>
      </c>
      <c r="C1" s="0" t="s">
        <v>296</v>
      </c>
      <c r="D1" s="0" t="s">
        <v>297</v>
      </c>
      <c r="E1" s="0" t="s">
        <v>298</v>
      </c>
      <c r="F1" s="0" t="s">
        <v>299</v>
      </c>
      <c r="G1" s="0" t="s">
        <v>300</v>
      </c>
      <c r="H1" s="68" t="s">
        <v>515</v>
      </c>
      <c r="I1" s="0" t="s">
        <v>322</v>
      </c>
      <c r="J1" s="0" t="s">
        <v>516</v>
      </c>
      <c r="K1" s="0" t="s">
        <v>517</v>
      </c>
      <c r="L1" s="0" t="s">
        <v>325</v>
      </c>
      <c r="M1" s="0" t="s">
        <v>326</v>
      </c>
      <c r="N1" s="0" t="s">
        <v>314</v>
      </c>
      <c r="O1" s="0" t="s">
        <v>315</v>
      </c>
      <c r="P1" s="0" t="s">
        <v>518</v>
      </c>
      <c r="Q1" s="0" t="s">
        <v>519</v>
      </c>
      <c r="R1" s="0" t="s">
        <v>323</v>
      </c>
      <c r="S1" s="0" t="s">
        <v>324</v>
      </c>
      <c r="T1" s="0" t="s">
        <v>520</v>
      </c>
      <c r="U1" s="0" t="s">
        <v>328</v>
      </c>
      <c r="V1" s="68" t="s">
        <v>521</v>
      </c>
      <c r="W1" s="0" t="s">
        <v>522</v>
      </c>
      <c r="X1" s="68" t="s">
        <v>523</v>
      </c>
      <c r="Y1" s="0" t="s">
        <v>524</v>
      </c>
      <c r="Z1" s="68" t="s">
        <v>525</v>
      </c>
      <c r="AA1" s="0" t="s">
        <v>526</v>
      </c>
      <c r="AB1" s="68" t="s">
        <v>527</v>
      </c>
      <c r="AC1" s="0" t="s">
        <v>528</v>
      </c>
      <c r="AD1" s="0" t="s">
        <v>361</v>
      </c>
      <c r="AE1" s="0" t="s">
        <v>339</v>
      </c>
      <c r="AF1" s="0" t="s">
        <v>529</v>
      </c>
      <c r="AG1" s="0" t="s">
        <v>343</v>
      </c>
      <c r="AH1" s="0" t="s">
        <v>530</v>
      </c>
      <c r="AI1" s="68" t="s">
        <v>531</v>
      </c>
      <c r="AJ1" s="0" t="s">
        <v>532</v>
      </c>
      <c r="AK1" s="0" t="s">
        <v>337</v>
      </c>
      <c r="AL1" s="0" t="s">
        <v>338</v>
      </c>
      <c r="AM1" s="0" t="s">
        <v>350</v>
      </c>
      <c r="AN1" s="0" t="s">
        <v>533</v>
      </c>
      <c r="AO1" s="0" t="s">
        <v>354</v>
      </c>
      <c r="AP1" s="68" t="s">
        <v>534</v>
      </c>
      <c r="AQ1" s="0" t="s">
        <v>535</v>
      </c>
      <c r="AR1" s="0" t="s">
        <v>536</v>
      </c>
      <c r="AS1" s="68" t="s">
        <v>537</v>
      </c>
      <c r="AT1" s="68" t="s">
        <v>538</v>
      </c>
      <c r="AU1" s="0" t="s">
        <v>355</v>
      </c>
      <c r="AV1" s="0" t="s">
        <v>360</v>
      </c>
      <c r="AW1" s="0" t="s">
        <v>539</v>
      </c>
      <c r="AX1" s="0" t="s">
        <v>368</v>
      </c>
      <c r="AY1" s="0" t="s">
        <v>540</v>
      </c>
      <c r="AZ1" s="0" t="s">
        <v>541</v>
      </c>
      <c r="BA1" s="0" t="s">
        <v>542</v>
      </c>
      <c r="BB1" s="68" t="s">
        <v>543</v>
      </c>
      <c r="BC1" s="0" t="s">
        <v>544</v>
      </c>
      <c r="BD1" s="68" t="s">
        <v>545</v>
      </c>
      <c r="BE1" s="68" t="s">
        <v>546</v>
      </c>
      <c r="BF1" s="0" t="s">
        <v>547</v>
      </c>
      <c r="BG1" s="0" t="s">
        <v>548</v>
      </c>
      <c r="BH1" s="68" t="s">
        <v>549</v>
      </c>
      <c r="BI1" s="68" t="s">
        <v>550</v>
      </c>
      <c r="BJ1" s="68" t="s">
        <v>551</v>
      </c>
      <c r="BK1" s="68" t="s">
        <v>552</v>
      </c>
      <c r="BL1" s="68" t="s">
        <v>553</v>
      </c>
      <c r="BM1" s="68" t="s">
        <v>554</v>
      </c>
      <c r="BN1" s="68" t="s">
        <v>555</v>
      </c>
      <c r="BO1" s="68" t="s">
        <v>556</v>
      </c>
      <c r="BP1" s="68" t="s">
        <v>557</v>
      </c>
      <c r="BQ1" s="68" t="s">
        <v>558</v>
      </c>
      <c r="BR1" s="68" t="s">
        <v>559</v>
      </c>
      <c r="BS1" s="68" t="s">
        <v>560</v>
      </c>
      <c r="BT1" s="68" t="s">
        <v>561</v>
      </c>
      <c r="BU1" s="68" t="s">
        <v>562</v>
      </c>
      <c r="BV1" s="0" t="s">
        <v>563</v>
      </c>
      <c r="BW1" s="0" t="s">
        <v>564</v>
      </c>
      <c r="BX1" s="68" t="s">
        <v>565</v>
      </c>
      <c r="BY1" s="68" t="s">
        <v>566</v>
      </c>
      <c r="BZ1" s="68" t="s">
        <v>567</v>
      </c>
      <c r="CA1" s="0" t="s">
        <v>568</v>
      </c>
      <c r="CB1" s="0" t="s">
        <v>569</v>
      </c>
      <c r="CC1" s="0" t="s">
        <v>570</v>
      </c>
      <c r="CD1" s="0" t="s">
        <v>571</v>
      </c>
      <c r="CE1" s="68" t="s">
        <v>572</v>
      </c>
      <c r="CF1" s="0" t="s">
        <v>573</v>
      </c>
      <c r="CG1" s="0" t="s">
        <v>574</v>
      </c>
      <c r="CH1" s="68" t="s">
        <v>575</v>
      </c>
      <c r="CI1" s="68" t="s">
        <v>576</v>
      </c>
      <c r="CJ1" s="68" t="s">
        <v>577</v>
      </c>
      <c r="CK1" s="68" t="s">
        <v>578</v>
      </c>
      <c r="CL1" s="68" t="s">
        <v>579</v>
      </c>
      <c r="CM1" s="68" t="s">
        <v>580</v>
      </c>
      <c r="CN1" s="68" t="s">
        <v>581</v>
      </c>
      <c r="CO1" s="68" t="s">
        <v>582</v>
      </c>
      <c r="CP1" s="0" t="s">
        <v>583</v>
      </c>
      <c r="CQ1" s="0" t="s">
        <v>584</v>
      </c>
      <c r="CR1" s="68" t="s">
        <v>585</v>
      </c>
      <c r="CS1" s="68" t="s">
        <v>586</v>
      </c>
      <c r="CT1" s="68" t="s">
        <v>587</v>
      </c>
      <c r="CU1" s="68" t="s">
        <v>588</v>
      </c>
      <c r="CV1" s="68" t="s">
        <v>589</v>
      </c>
      <c r="CW1" s="68" t="s">
        <v>590</v>
      </c>
      <c r="CX1" s="68" t="s">
        <v>591</v>
      </c>
      <c r="CY1" s="68" t="s">
        <v>592</v>
      </c>
      <c r="CZ1" s="0" t="s">
        <v>593</v>
      </c>
      <c r="DA1" s="0" t="s">
        <v>594</v>
      </c>
      <c r="DB1" s="68" t="s">
        <v>595</v>
      </c>
      <c r="DC1" s="68" t="s">
        <v>596</v>
      </c>
      <c r="DD1" s="68" t="s">
        <v>597</v>
      </c>
      <c r="DE1" s="68" t="s">
        <v>598</v>
      </c>
      <c r="DF1" s="68" t="s">
        <v>599</v>
      </c>
      <c r="DG1" s="68" t="s">
        <v>600</v>
      </c>
      <c r="DH1" s="0" t="s">
        <v>601</v>
      </c>
      <c r="DI1" s="0" t="s">
        <v>602</v>
      </c>
      <c r="DJ1" s="68" t="s">
        <v>603</v>
      </c>
      <c r="DK1" s="68" t="s">
        <v>604</v>
      </c>
      <c r="DL1" s="68" t="s">
        <v>605</v>
      </c>
      <c r="DM1" s="68" t="s">
        <v>606</v>
      </c>
      <c r="DN1" s="68" t="s">
        <v>607</v>
      </c>
      <c r="DO1" s="0" t="s">
        <v>444</v>
      </c>
      <c r="DP1" s="0" t="s">
        <v>445</v>
      </c>
      <c r="DQ1" s="0" t="s">
        <v>446</v>
      </c>
      <c r="DR1" s="0" t="s">
        <v>608</v>
      </c>
      <c r="DS1" s="0" t="s">
        <v>609</v>
      </c>
      <c r="DT1" s="0" t="s">
        <v>610</v>
      </c>
      <c r="DU1" s="0" t="s">
        <v>611</v>
      </c>
      <c r="DV1" s="0" t="s">
        <v>612</v>
      </c>
      <c r="DW1" s="0" t="s">
        <v>613</v>
      </c>
      <c r="DX1" s="0" t="s">
        <v>614</v>
      </c>
      <c r="DY1" s="0" t="s">
        <v>615</v>
      </c>
      <c r="DZ1" s="68" t="s">
        <v>616</v>
      </c>
      <c r="EA1" s="68" t="s">
        <v>617</v>
      </c>
      <c r="EB1" s="68" t="s">
        <v>618</v>
      </c>
      <c r="EC1" s="68" t="s">
        <v>619</v>
      </c>
      <c r="ED1" s="68" t="s">
        <v>620</v>
      </c>
      <c r="EE1" s="68" t="s">
        <v>621</v>
      </c>
      <c r="EF1" s="68" t="s">
        <v>622</v>
      </c>
      <c r="EG1" s="68" t="s">
        <v>623</v>
      </c>
      <c r="EH1" s="68" t="s">
        <v>624</v>
      </c>
      <c r="EI1" s="68" t="s">
        <v>625</v>
      </c>
      <c r="EJ1" s="68" t="s">
        <v>626</v>
      </c>
      <c r="EK1" s="68" t="s">
        <v>627</v>
      </c>
      <c r="EL1" s="68" t="s">
        <v>628</v>
      </c>
      <c r="EM1" s="68" t="s">
        <v>629</v>
      </c>
      <c r="EN1" s="68" t="s">
        <v>630</v>
      </c>
      <c r="EO1" s="68" t="s">
        <v>631</v>
      </c>
      <c r="EP1" s="68" t="s">
        <v>632</v>
      </c>
      <c r="EQ1" s="68" t="s">
        <v>633</v>
      </c>
      <c r="ER1" s="68" t="s">
        <v>634</v>
      </c>
      <c r="ES1" s="68" t="s">
        <v>635</v>
      </c>
      <c r="ET1" s="68" t="s">
        <v>636</v>
      </c>
      <c r="EU1" s="68" t="s">
        <v>637</v>
      </c>
      <c r="EV1" s="68" t="s">
        <v>638</v>
      </c>
      <c r="EW1" s="68" t="s">
        <v>639</v>
      </c>
      <c r="EX1" s="68" t="s">
        <v>640</v>
      </c>
      <c r="EY1" s="68" t="s">
        <v>641</v>
      </c>
      <c r="EZ1" s="68" t="s">
        <v>642</v>
      </c>
      <c r="FA1" s="68" t="s">
        <v>643</v>
      </c>
      <c r="FB1" s="68" t="s">
        <v>644</v>
      </c>
      <c r="FC1" s="68" t="s">
        <v>645</v>
      </c>
      <c r="FD1" s="68" t="s">
        <v>646</v>
      </c>
      <c r="FE1" s="68" t="s">
        <v>647</v>
      </c>
      <c r="FF1" s="68" t="s">
        <v>648</v>
      </c>
      <c r="FG1" s="68" t="s">
        <v>649</v>
      </c>
      <c r="FH1" s="68" t="s">
        <v>650</v>
      </c>
      <c r="FI1" s="68" t="s">
        <v>651</v>
      </c>
      <c r="FJ1" s="68" t="s">
        <v>652</v>
      </c>
      <c r="FK1" s="68" t="s">
        <v>653</v>
      </c>
      <c r="FL1" s="68" t="s">
        <v>654</v>
      </c>
      <c r="FM1" s="0" t="s">
        <v>462</v>
      </c>
      <c r="FN1" s="0" t="s">
        <v>463</v>
      </c>
      <c r="FO1" s="68" t="s">
        <v>464</v>
      </c>
      <c r="FP1" s="0" t="s">
        <v>465</v>
      </c>
      <c r="FQ1" s="0" t="s">
        <v>655</v>
      </c>
      <c r="FR1" s="0" t="s">
        <v>467</v>
      </c>
      <c r="FS1" s="0" t="s">
        <v>468</v>
      </c>
      <c r="FT1" s="0" t="s">
        <v>469</v>
      </c>
      <c r="FU1" s="0" t="s">
        <v>656</v>
      </c>
      <c r="FV1" s="0" t="s">
        <v>470</v>
      </c>
    </row>
    <row r="2" customFormat="false" ht="15" hidden="false" customHeight="false" outlineLevel="0" collapsed="false">
      <c r="A2" s="0" t="n">
        <v>1</v>
      </c>
      <c r="B2" s="69" t="n">
        <v>46199.5467708333</v>
      </c>
      <c r="C2" s="69" t="n">
        <v>46199.549375</v>
      </c>
      <c r="D2" s="45" t="s">
        <v>657</v>
      </c>
      <c r="E2" s="45" t="s">
        <v>251</v>
      </c>
      <c r="F2" s="45" t="s">
        <v>658</v>
      </c>
      <c r="G2" s="45" t="s">
        <v>659</v>
      </c>
      <c r="BP2" s="0" t="n">
        <v>3</v>
      </c>
      <c r="BQ2" s="0" t="n">
        <v>3</v>
      </c>
      <c r="BR2" s="0" t="n">
        <v>3</v>
      </c>
      <c r="BS2" s="0" t="n">
        <v>3</v>
      </c>
      <c r="BT2" s="0" t="n">
        <v>3</v>
      </c>
      <c r="BU2" s="0" t="n">
        <v>3</v>
      </c>
      <c r="DZ2" s="0" t="n">
        <v>3</v>
      </c>
      <c r="EA2" s="0" t="n">
        <v>3</v>
      </c>
      <c r="EB2" s="0" t="n">
        <v>3</v>
      </c>
      <c r="FM2" s="0" t="n">
        <v>3</v>
      </c>
      <c r="FN2" s="0" t="n">
        <v>3</v>
      </c>
      <c r="FO2" s="0" t="n">
        <v>3</v>
      </c>
      <c r="FP2" s="45" t="s">
        <v>474</v>
      </c>
      <c r="FQ2" s="45" t="s">
        <v>474</v>
      </c>
      <c r="FR2" s="45" t="s">
        <v>475</v>
      </c>
      <c r="FS2" s="45" t="s">
        <v>490</v>
      </c>
      <c r="FT2" s="45" t="s">
        <v>477</v>
      </c>
      <c r="FU2" s="45" t="s">
        <v>660</v>
      </c>
      <c r="FV2" s="45" t="s">
        <v>89</v>
      </c>
    </row>
    <row r="3" customFormat="false" ht="108.95" hidden="false" customHeight="false" outlineLevel="0" collapsed="false">
      <c r="A3" s="0" t="n">
        <v>2</v>
      </c>
      <c r="B3" s="69" t="n">
        <v>46203.3920601852</v>
      </c>
      <c r="C3" s="69" t="n">
        <v>46203.4503009259</v>
      </c>
      <c r="D3" s="45" t="s">
        <v>661</v>
      </c>
      <c r="E3" s="45" t="s">
        <v>257</v>
      </c>
      <c r="F3" s="45" t="s">
        <v>662</v>
      </c>
      <c r="G3" s="45" t="s">
        <v>663</v>
      </c>
      <c r="CF3" s="0" t="n">
        <v>4</v>
      </c>
      <c r="CG3" s="0" t="n">
        <v>3</v>
      </c>
      <c r="CH3" s="0" t="n">
        <v>2</v>
      </c>
      <c r="CI3" s="0" t="n">
        <v>3</v>
      </c>
      <c r="CJ3" s="0" t="n">
        <v>3</v>
      </c>
      <c r="CK3" s="0" t="n">
        <v>3</v>
      </c>
      <c r="CL3" s="0" t="n">
        <v>4</v>
      </c>
      <c r="CM3" s="0" t="n">
        <v>4</v>
      </c>
      <c r="CN3" s="0" t="n">
        <v>4</v>
      </c>
      <c r="CO3" s="0" t="n">
        <v>3</v>
      </c>
      <c r="EC3" s="0" t="n">
        <v>4</v>
      </c>
      <c r="ED3" s="0" t="n">
        <v>4</v>
      </c>
      <c r="EE3" s="0" t="n">
        <v>3</v>
      </c>
      <c r="EF3" s="0" t="n">
        <v>2</v>
      </c>
      <c r="EG3" s="0" t="n">
        <v>4</v>
      </c>
      <c r="EH3" s="0" t="n">
        <v>2</v>
      </c>
      <c r="EI3" s="0" t="n">
        <v>3</v>
      </c>
      <c r="EJ3" s="0" t="n">
        <v>4</v>
      </c>
      <c r="EK3" s="0" t="n">
        <v>3</v>
      </c>
      <c r="EL3" s="0" t="n">
        <v>3</v>
      </c>
      <c r="FM3" s="0" t="n">
        <v>4</v>
      </c>
      <c r="FN3" s="0" t="n">
        <v>4</v>
      </c>
      <c r="FO3" s="0" t="n">
        <v>4</v>
      </c>
      <c r="FP3" s="45" t="s">
        <v>474</v>
      </c>
      <c r="FQ3" s="45" t="s">
        <v>474</v>
      </c>
      <c r="FR3" s="45" t="s">
        <v>475</v>
      </c>
      <c r="FS3" s="45" t="s">
        <v>664</v>
      </c>
      <c r="FT3" s="45" t="s">
        <v>477</v>
      </c>
      <c r="FU3" s="45" t="s">
        <v>665</v>
      </c>
      <c r="FV3" s="68" t="s">
        <v>666</v>
      </c>
    </row>
    <row r="4" customFormat="false" ht="68.65" hidden="false" customHeight="false" outlineLevel="0" collapsed="false">
      <c r="A4" s="0" t="n">
        <v>3</v>
      </c>
      <c r="B4" s="69" t="n">
        <v>46203.5668634259</v>
      </c>
      <c r="C4" s="69" t="n">
        <v>46203.5890277778</v>
      </c>
      <c r="D4" s="45" t="s">
        <v>661</v>
      </c>
      <c r="E4" s="45" t="s">
        <v>257</v>
      </c>
      <c r="F4" s="45" t="s">
        <v>662</v>
      </c>
      <c r="G4" s="45" t="s">
        <v>667</v>
      </c>
      <c r="CZ4" s="0" t="n">
        <v>4</v>
      </c>
      <c r="DA4" s="0" t="n">
        <v>4</v>
      </c>
      <c r="DB4" s="0" t="n">
        <v>4</v>
      </c>
      <c r="DC4" s="0" t="n">
        <v>4</v>
      </c>
      <c r="DD4" s="0" t="n">
        <v>4</v>
      </c>
      <c r="DE4" s="0" t="n">
        <v>4</v>
      </c>
      <c r="DF4" s="0" t="n">
        <v>2</v>
      </c>
      <c r="DG4" s="0" t="n">
        <v>4</v>
      </c>
      <c r="EW4" s="0" t="n">
        <v>4</v>
      </c>
      <c r="EX4" s="0" t="n">
        <v>4</v>
      </c>
      <c r="EY4" s="0" t="n">
        <v>4</v>
      </c>
      <c r="EZ4" s="0" t="n">
        <v>4</v>
      </c>
      <c r="FA4" s="0" t="n">
        <v>4</v>
      </c>
      <c r="FB4" s="0" t="n">
        <v>4</v>
      </c>
      <c r="FC4" s="0" t="n">
        <v>4</v>
      </c>
      <c r="FD4" s="0" t="n">
        <v>4</v>
      </c>
      <c r="FM4" s="0" t="n">
        <v>4</v>
      </c>
      <c r="FN4" s="0" t="n">
        <v>4</v>
      </c>
      <c r="FO4" s="0" t="n">
        <v>4</v>
      </c>
      <c r="FP4" s="45" t="s">
        <v>474</v>
      </c>
      <c r="FQ4" s="45" t="s">
        <v>474</v>
      </c>
      <c r="FR4" s="45" t="s">
        <v>475</v>
      </c>
      <c r="FS4" s="45" t="s">
        <v>482</v>
      </c>
      <c r="FT4" s="45" t="s">
        <v>477</v>
      </c>
      <c r="FU4" s="45" t="s">
        <v>665</v>
      </c>
      <c r="FV4" s="68" t="s">
        <v>668</v>
      </c>
    </row>
    <row r="5" customFormat="false" ht="28.35" hidden="false" customHeight="false" outlineLevel="0" collapsed="false">
      <c r="A5" s="0" t="n">
        <v>4</v>
      </c>
      <c r="B5" s="69" t="n">
        <v>46203.8428819445</v>
      </c>
      <c r="C5" s="69" t="n">
        <v>46203.8498148148</v>
      </c>
      <c r="D5" s="45" t="s">
        <v>479</v>
      </c>
      <c r="E5" s="45" t="s">
        <v>227</v>
      </c>
      <c r="F5" s="45" t="s">
        <v>480</v>
      </c>
      <c r="G5" s="45" t="s">
        <v>669</v>
      </c>
      <c r="P5" s="0" t="n">
        <v>3</v>
      </c>
      <c r="Q5" s="0" t="n">
        <v>4</v>
      </c>
      <c r="R5" s="0" t="n">
        <v>4</v>
      </c>
      <c r="S5" s="0" t="n">
        <v>3</v>
      </c>
      <c r="T5" s="0" t="n">
        <v>3</v>
      </c>
      <c r="U5" s="0" t="n">
        <v>4</v>
      </c>
      <c r="V5" s="0" t="n">
        <v>3</v>
      </c>
      <c r="W5" s="0" t="n">
        <v>4</v>
      </c>
      <c r="X5" s="0" t="n">
        <v>4</v>
      </c>
      <c r="Y5" s="0" t="n">
        <v>4</v>
      </c>
      <c r="Z5" s="0" t="n">
        <v>4</v>
      </c>
      <c r="DO5" s="0" t="n">
        <v>3</v>
      </c>
      <c r="DP5" s="0" t="n">
        <v>4</v>
      </c>
      <c r="DQ5" s="0" t="n">
        <v>3</v>
      </c>
      <c r="FM5" s="0" t="n">
        <v>4</v>
      </c>
      <c r="FN5" s="0" t="n">
        <v>3</v>
      </c>
      <c r="FO5" s="0" t="n">
        <v>4</v>
      </c>
      <c r="FP5" s="45" t="s">
        <v>474</v>
      </c>
      <c r="FQ5" s="45" t="s">
        <v>474</v>
      </c>
      <c r="FR5" s="45" t="s">
        <v>475</v>
      </c>
      <c r="FS5" s="45" t="s">
        <v>664</v>
      </c>
      <c r="FT5" s="45" t="s">
        <v>477</v>
      </c>
      <c r="FU5" s="45" t="s">
        <v>665</v>
      </c>
      <c r="FV5" s="68" t="s">
        <v>670</v>
      </c>
    </row>
    <row r="6" customFormat="false" ht="15" hidden="false" customHeight="false" outlineLevel="0" collapsed="false">
      <c r="A6" s="0" t="n">
        <v>5</v>
      </c>
      <c r="B6" s="69" t="n">
        <v>46204.4234837963</v>
      </c>
      <c r="C6" s="69" t="n">
        <v>46204.4256134259</v>
      </c>
      <c r="D6" s="45" t="s">
        <v>671</v>
      </c>
      <c r="E6" s="45" t="s">
        <v>259</v>
      </c>
      <c r="F6" s="45" t="s">
        <v>672</v>
      </c>
      <c r="G6" s="45" t="s">
        <v>673</v>
      </c>
      <c r="DH6" s="0" t="n">
        <v>4</v>
      </c>
      <c r="DI6" s="0" t="n">
        <v>4</v>
      </c>
      <c r="DJ6" s="0" t="n">
        <v>5</v>
      </c>
      <c r="DK6" s="0" t="n">
        <v>5</v>
      </c>
      <c r="DL6" s="0" t="n">
        <v>4</v>
      </c>
      <c r="DM6" s="0" t="n">
        <v>4</v>
      </c>
      <c r="DN6" s="0" t="n">
        <v>4</v>
      </c>
      <c r="FE6" s="0" t="n">
        <v>5</v>
      </c>
      <c r="FF6" s="0" t="n">
        <v>5</v>
      </c>
      <c r="FG6" s="0" t="n">
        <v>5</v>
      </c>
      <c r="FH6" s="0" t="n">
        <v>5</v>
      </c>
      <c r="FI6" s="0" t="n">
        <v>5</v>
      </c>
      <c r="FJ6" s="0" t="n">
        <v>5</v>
      </c>
      <c r="FK6" s="0" t="n">
        <v>5</v>
      </c>
      <c r="FL6" s="0" t="n">
        <v>5</v>
      </c>
      <c r="FM6" s="0" t="n">
        <v>5</v>
      </c>
      <c r="FN6" s="0" t="n">
        <v>5</v>
      </c>
      <c r="FO6" s="0" t="n">
        <v>4</v>
      </c>
      <c r="FP6" s="45" t="s">
        <v>474</v>
      </c>
      <c r="FQ6" s="45" t="s">
        <v>474</v>
      </c>
      <c r="FR6" s="45" t="s">
        <v>475</v>
      </c>
      <c r="FS6" s="45" t="s">
        <v>482</v>
      </c>
      <c r="FT6" s="45" t="s">
        <v>482</v>
      </c>
      <c r="FU6" s="45" t="s">
        <v>674</v>
      </c>
      <c r="FV6" s="45" t="s">
        <v>127</v>
      </c>
    </row>
    <row r="7" customFormat="false" ht="15" hidden="false" customHeight="false" outlineLevel="0" collapsed="false">
      <c r="A7" s="0" t="n">
        <v>6</v>
      </c>
      <c r="B7" s="69" t="n">
        <v>46205.5542476852</v>
      </c>
      <c r="C7" s="69" t="n">
        <v>46205.6910763889</v>
      </c>
      <c r="D7" s="45" t="s">
        <v>675</v>
      </c>
      <c r="E7" s="45" t="s">
        <v>256</v>
      </c>
      <c r="F7" s="45" t="s">
        <v>676</v>
      </c>
      <c r="G7" s="45" t="s">
        <v>677</v>
      </c>
      <c r="H7" s="0" t="n">
        <v>4</v>
      </c>
      <c r="I7" s="0" t="n">
        <v>4</v>
      </c>
      <c r="J7" s="0" t="n">
        <v>3</v>
      </c>
      <c r="K7" s="0" t="n">
        <v>3</v>
      </c>
      <c r="L7" s="0" t="n">
        <v>3</v>
      </c>
      <c r="M7" s="0" t="n">
        <v>3</v>
      </c>
      <c r="N7" s="0" t="n">
        <v>3</v>
      </c>
      <c r="O7" s="0" t="n">
        <v>3</v>
      </c>
      <c r="DO7" s="0" t="n">
        <v>3</v>
      </c>
      <c r="DP7" s="0" t="n">
        <v>3</v>
      </c>
      <c r="DQ7" s="0" t="n">
        <v>3</v>
      </c>
      <c r="FM7" s="0" t="n">
        <v>3</v>
      </c>
      <c r="FN7" s="0" t="n">
        <v>3</v>
      </c>
      <c r="FO7" s="0" t="n">
        <v>3</v>
      </c>
      <c r="FP7" s="45" t="s">
        <v>474</v>
      </c>
      <c r="FQ7" s="45" t="s">
        <v>474</v>
      </c>
      <c r="FR7" s="45" t="s">
        <v>475</v>
      </c>
      <c r="FS7" s="45" t="s">
        <v>490</v>
      </c>
      <c r="FT7" s="45" t="s">
        <v>477</v>
      </c>
      <c r="FU7" s="45" t="s">
        <v>674</v>
      </c>
      <c r="FV7" s="45" t="s">
        <v>678</v>
      </c>
    </row>
    <row r="8" customFormat="false" ht="15" hidden="false" customHeight="false" outlineLevel="0" collapsed="false">
      <c r="A8" s="0" t="n">
        <v>7</v>
      </c>
      <c r="B8" s="69" t="n">
        <v>46205.6975694444</v>
      </c>
      <c r="C8" s="69" t="n">
        <v>46205.702349537</v>
      </c>
      <c r="D8" s="45" t="s">
        <v>679</v>
      </c>
      <c r="E8" s="45" t="s">
        <v>244</v>
      </c>
      <c r="F8" s="45" t="s">
        <v>680</v>
      </c>
      <c r="G8" s="45" t="s">
        <v>681</v>
      </c>
      <c r="BV8" s="0" t="n">
        <v>4</v>
      </c>
      <c r="BW8" s="0" t="n">
        <v>5</v>
      </c>
      <c r="BX8" s="0" t="n">
        <v>4</v>
      </c>
      <c r="BY8" s="0" t="n">
        <v>5</v>
      </c>
      <c r="BZ8" s="0" t="n">
        <v>5</v>
      </c>
      <c r="DR8" s="0" t="n">
        <v>5</v>
      </c>
      <c r="DS8" s="0" t="n">
        <v>5</v>
      </c>
      <c r="DT8" s="0" t="n">
        <v>5</v>
      </c>
      <c r="FM8" s="0" t="n">
        <v>5</v>
      </c>
      <c r="FN8" s="0" t="n">
        <v>5</v>
      </c>
      <c r="FO8" s="0" t="n">
        <v>5</v>
      </c>
      <c r="FP8" s="45" t="s">
        <v>474</v>
      </c>
      <c r="FQ8" s="45" t="s">
        <v>474</v>
      </c>
      <c r="FR8" s="45" t="s">
        <v>475</v>
      </c>
      <c r="FS8" s="45" t="s">
        <v>490</v>
      </c>
      <c r="FT8" s="45" t="s">
        <v>477</v>
      </c>
      <c r="FU8" s="45" t="s">
        <v>660</v>
      </c>
      <c r="FV8" s="45" t="s">
        <v>682</v>
      </c>
    </row>
    <row r="9" customFormat="false" ht="15" hidden="false" customHeight="false" outlineLevel="0" collapsed="false">
      <c r="A9" s="0" t="n">
        <v>8</v>
      </c>
      <c r="B9" s="69" t="n">
        <v>46211.4657060185</v>
      </c>
      <c r="C9" s="69" t="n">
        <v>46211.4762962963</v>
      </c>
      <c r="D9" s="45" t="s">
        <v>679</v>
      </c>
      <c r="E9" s="45" t="s">
        <v>244</v>
      </c>
      <c r="F9" s="45" t="s">
        <v>680</v>
      </c>
      <c r="G9" s="45" t="s">
        <v>681</v>
      </c>
      <c r="BV9" s="0" t="n">
        <v>4</v>
      </c>
      <c r="BW9" s="0" t="n">
        <v>4</v>
      </c>
      <c r="BX9" s="0" t="n">
        <v>4</v>
      </c>
      <c r="BY9" s="0" t="n">
        <v>4</v>
      </c>
      <c r="BZ9" s="0" t="n">
        <v>4</v>
      </c>
      <c r="CA9" s="0" t="n">
        <v>4</v>
      </c>
      <c r="CB9" s="0" t="n">
        <v>4</v>
      </c>
      <c r="CC9" s="0" t="n">
        <v>4</v>
      </c>
      <c r="CD9" s="0" t="n">
        <v>4</v>
      </c>
      <c r="CE9" s="0" t="n">
        <v>4</v>
      </c>
      <c r="DR9" s="0" t="n">
        <v>4</v>
      </c>
      <c r="DS9" s="0" t="n">
        <v>4</v>
      </c>
      <c r="DT9" s="0" t="n">
        <v>4</v>
      </c>
      <c r="DU9" s="0" t="n">
        <v>4</v>
      </c>
      <c r="DV9" s="0" t="n">
        <v>4</v>
      </c>
      <c r="DW9" s="0" t="n">
        <v>4</v>
      </c>
      <c r="DX9" s="0" t="n">
        <v>4</v>
      </c>
      <c r="DY9" s="0" t="n">
        <v>4</v>
      </c>
      <c r="FM9" s="0" t="n">
        <v>5</v>
      </c>
      <c r="FN9" s="0" t="n">
        <v>5</v>
      </c>
      <c r="FO9" s="0" t="n">
        <v>5</v>
      </c>
      <c r="FP9" s="45" t="s">
        <v>474</v>
      </c>
      <c r="FQ9" s="45" t="s">
        <v>474</v>
      </c>
      <c r="FR9" s="45" t="s">
        <v>475</v>
      </c>
      <c r="FS9" s="45" t="s">
        <v>490</v>
      </c>
      <c r="FT9" s="45" t="s">
        <v>477</v>
      </c>
      <c r="FU9" s="45" t="s">
        <v>660</v>
      </c>
      <c r="FV9" s="45" t="s">
        <v>683</v>
      </c>
    </row>
    <row r="10" customFormat="false" ht="15" hidden="false" customHeight="false" outlineLevel="0" collapsed="false">
      <c r="A10" s="0" t="n">
        <v>9</v>
      </c>
      <c r="B10" s="69" t="n">
        <v>46212.5549884259</v>
      </c>
      <c r="C10" s="69" t="n">
        <v>46212.8284143519</v>
      </c>
      <c r="D10" s="45" t="s">
        <v>684</v>
      </c>
      <c r="E10" s="45" t="s">
        <v>241</v>
      </c>
      <c r="F10" s="45" t="s">
        <v>685</v>
      </c>
      <c r="G10" s="45" t="s">
        <v>686</v>
      </c>
      <c r="AU10" s="0" t="n">
        <v>4</v>
      </c>
      <c r="AV10" s="0" t="n">
        <v>3</v>
      </c>
      <c r="AW10" s="0" t="n">
        <v>4</v>
      </c>
      <c r="AX10" s="0" t="n">
        <v>3</v>
      </c>
      <c r="AY10" s="0" t="n">
        <v>3</v>
      </c>
      <c r="AZ10" s="0" t="n">
        <v>3</v>
      </c>
      <c r="BA10" s="0" t="n">
        <v>3</v>
      </c>
      <c r="BB10" s="0" t="n">
        <v>3</v>
      </c>
      <c r="BC10" s="0" t="n">
        <v>3</v>
      </c>
      <c r="BD10" s="0" t="n">
        <v>3</v>
      </c>
      <c r="BE10" s="0" t="n">
        <v>3</v>
      </c>
      <c r="BF10" s="0" t="n">
        <v>3</v>
      </c>
      <c r="BG10" s="0" t="n">
        <v>3</v>
      </c>
      <c r="BH10" s="0" t="n">
        <v>3</v>
      </c>
      <c r="BI10" s="0" t="n">
        <v>3</v>
      </c>
      <c r="BJ10" s="0" t="n">
        <v>3</v>
      </c>
      <c r="BK10" s="0" t="n">
        <v>3</v>
      </c>
      <c r="BL10" s="0" t="n">
        <v>3</v>
      </c>
      <c r="BM10" s="0" t="n">
        <v>3</v>
      </c>
      <c r="BN10" s="0" t="n">
        <v>3</v>
      </c>
      <c r="BO10" s="0" t="n">
        <v>3</v>
      </c>
      <c r="DO10" s="0" t="n">
        <v>3</v>
      </c>
      <c r="DP10" s="0" t="n">
        <v>3</v>
      </c>
      <c r="DQ10" s="0" t="n">
        <v>3</v>
      </c>
      <c r="FM10" s="0" t="n">
        <v>4</v>
      </c>
      <c r="FN10" s="0" t="n">
        <v>4</v>
      </c>
      <c r="FO10" s="0" t="n">
        <v>4</v>
      </c>
      <c r="FP10" s="45" t="s">
        <v>474</v>
      </c>
      <c r="FQ10" s="45" t="s">
        <v>474</v>
      </c>
      <c r="FR10" s="45" t="s">
        <v>482</v>
      </c>
      <c r="FS10" s="45" t="s">
        <v>482</v>
      </c>
      <c r="FT10" s="45" t="s">
        <v>482</v>
      </c>
      <c r="FU10" s="45" t="s">
        <v>674</v>
      </c>
      <c r="FV10" s="45" t="s">
        <v>687</v>
      </c>
    </row>
    <row r="11" customFormat="false" ht="15" hidden="false" customHeight="false" outlineLevel="0" collapsed="false">
      <c r="A11" s="0" t="n">
        <v>10</v>
      </c>
      <c r="B11" s="69" t="n">
        <v>46217.5703935185</v>
      </c>
      <c r="C11" s="69" t="n">
        <v>46217.5753472222</v>
      </c>
      <c r="D11" s="45" t="s">
        <v>688</v>
      </c>
      <c r="E11" s="45" t="s">
        <v>248</v>
      </c>
      <c r="F11" s="45" t="s">
        <v>689</v>
      </c>
      <c r="G11" s="45" t="s">
        <v>690</v>
      </c>
      <c r="AJ11" s="0" t="n">
        <v>5</v>
      </c>
      <c r="AK11" s="0" t="n">
        <v>5</v>
      </c>
      <c r="AL11" s="0" t="n">
        <v>4</v>
      </c>
      <c r="AM11" s="0" t="n">
        <v>3</v>
      </c>
      <c r="AN11" s="0" t="n">
        <v>3</v>
      </c>
      <c r="AO11" s="0" t="n">
        <v>5</v>
      </c>
      <c r="AP11" s="0" t="n">
        <v>5</v>
      </c>
      <c r="AQ11" s="0" t="n">
        <v>3</v>
      </c>
      <c r="AR11" s="0" t="n">
        <v>5</v>
      </c>
      <c r="AS11" s="0" t="n">
        <v>4</v>
      </c>
      <c r="AT11" s="0" t="n">
        <v>4</v>
      </c>
      <c r="DO11" s="0" t="n">
        <v>4</v>
      </c>
      <c r="DP11" s="0" t="n">
        <v>4</v>
      </c>
      <c r="DQ11" s="0" t="n">
        <v>4</v>
      </c>
      <c r="FM11" s="0" t="n">
        <v>4</v>
      </c>
      <c r="FN11" s="0" t="n">
        <v>4</v>
      </c>
      <c r="FO11" s="0" t="n">
        <v>4</v>
      </c>
      <c r="FP11" s="45" t="s">
        <v>474</v>
      </c>
      <c r="FQ11" s="45" t="s">
        <v>474</v>
      </c>
      <c r="FR11" s="45" t="s">
        <v>475</v>
      </c>
      <c r="FS11" s="45" t="s">
        <v>482</v>
      </c>
      <c r="FT11" s="45" t="s">
        <v>477</v>
      </c>
      <c r="FU11" s="45" t="s">
        <v>665</v>
      </c>
      <c r="FV11" s="45" t="s">
        <v>691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2026-07-23T03:26:03Z</dcterms:created>
  <dc:creator>openpyxl</dc:creator>
  <dc:description/>
  <dc:language>en-US</dc:language>
  <cp:lastModifiedBy/>
  <dcterms:modified xsi:type="dcterms:W3CDTF">2026-07-23T03:33:23Z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