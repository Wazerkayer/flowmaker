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DASHBOARD" sheetId="2" state="visible" r:id="rId4"/>
    <sheet name="HISTORICAL" sheetId="3" state="visible" r:id="rId5"/>
    <sheet name="RESULT Q2" sheetId="4" state="visible" r:id="rId6"/>
    <sheet name="Q2 ITSEC" sheetId="5" state="visible" r:id="rId7"/>
    <sheet name="Q2 IPROTEKSI" sheetId="6" state="visible" r:id="rId8"/>
    <sheet name="Q2 FPT" sheetId="7" state="visible" r:id="rId9"/>
    <sheet name="Q2 SAP-Mailing" sheetId="8" state="visible" r:id="rId10"/>
    <sheet name="Q2 JATIS" sheetId="9" state="visible" r:id="rId11"/>
    <sheet name="Q2 SAP-Courier" sheetId="10" state="visible" r:id="rId12"/>
    <sheet name="Q2 MMI" sheetId="11" state="visible" r:id="rId13"/>
    <sheet name="Q2 INDOSAT" sheetId="12" state="visible" r:id="rId14"/>
    <sheet name="Q2 CIPTADRA" sheetId="13" state="visible" r:id="rId15"/>
    <sheet name="Q2 MTARGET" sheetId="14" state="visible" r:id="rId16"/>
    <sheet name="Q2 INMOTION" sheetId="15" state="visible" r:id="rId17"/>
    <sheet name="Q2 MII-SFDC" sheetId="16" state="visible" r:id="rId18"/>
    <sheet name="Q2 SUTRA" sheetId="17" state="visible" r:id="rId19"/>
    <sheet name="Q2 RDS-Printing" sheetId="18" state="visible" r:id="rId20"/>
    <sheet name="Q2 DELOITTE" sheetId="19" state="visible" r:id="rId21"/>
    <sheet name="Q2 TMF" sheetId="20" state="visible" r:id="rId22"/>
    <sheet name="Q2 KPSG-TM" sheetId="21" state="visible" r:id="rId23"/>
    <sheet name="Q2 WIZ" sheetId="22" state="visible" r:id="rId24"/>
    <sheet name="Q2 KPSG-ARSI" sheetId="23" state="visible" r:id="rId25"/>
    <sheet name="Q2 MII-Purecloud" sheetId="24" state="visible" r:id="rId26"/>
    <sheet name="Q2 ESHAEL" sheetId="25" state="visible" r:id="rId27"/>
    <sheet name="SUMMARY Q1 2026" sheetId="26" state="visible" r:id="rId28"/>
    <sheet name="CONFIG" sheetId="27" state="visible" r:id="rId29"/>
    <sheet name="SCORE CALC" sheetId="28" state="visible" r:id="rId30"/>
    <sheet name="RESULT" sheetId="29" state="visible" r:id="rId31"/>
    <sheet name="RAW DATA Q1 - 1" sheetId="30" state="visible" r:id="rId32"/>
    <sheet name="RAW DATA Q1 - 2" sheetId="31" state="visible" r:id="rId33"/>
    <sheet name="RAW DATA Q2 - 1" sheetId="32" state="visible" r:id="rId34"/>
    <sheet name="RAW DATA Q2 - 2" sheetId="33" state="visible" r:id="rId3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<sst xmlns="http://schemas.openxmlformats.org/spreadsheetml/2006/main" count="2600" uniqueCount="831">
  <si>
    <t xml:space="preserve">CRITICAL SUPPLIER PERFORMANCE REVIEW — REVAMPED WORKBOOK</t>
  </si>
  <si>
    <t xml:space="preserve">Remediation &amp; Restructuring Q1 2026 → Template Reusable untuk Q2 2026</t>
  </si>
  <si>
    <t xml:space="preserve">1. APA YANG BERUBAH DARI FILE ASLI</t>
  </si>
  <si>
    <t xml:space="preserve">• 18 sheet per-supplier (ITSEC, IPROTEKSI, dst) dengan angka HARDCODE dikonsolidasikan menjadi 1 sheet SCORE CALC — semua nilai sekarang formula, ditarik LANGSUNG dari RAW DATA, tidak ada lagi copy-paste manual.</t>
  </si>
  <si>
    <t xml:space="preserve">• Sheet CONFIG baru ditambahkan: berisi mapping kolom (Quality/Timeline/Relationship) per supplier ke RAW DATA. Ini yang membuat file REUSABLE — untuk Q2, cukup update kolom 'Raw Sheet Name' di CONFIG dan tempel data baru, seluruh perhitungan otomatis mengikuti.</t>
  </si>
  <si>
    <t xml:space="preserve">• Sheet RESULT dirombak: Total Score, Status, Remarks, dan DD Result (by User) sekarang 100% formula (live link ke raw data). Kolom 'Assessment Result (by SRM)' dan 'Repetition of Below Expectation' tetap manual input (kuning) karena butuh judgement SRM, bukan hasil kalkulasi.</t>
  </si>
  <si>
    <t xml:space="preserve">• Sheet SUMMARY diperbaiki: '% Vendor Dievaluasi' sebelumnya menampilkan angka mentah (1) alih-alih persentase — sekarang benar (0%-100%) dan berbasis formula, bukan hitung manual.</t>
  </si>
  <si>
    <t xml:space="preserve">• Sheet HISTORICAL: kolom skor Q1 2026 sekarang live-link ke RESULT (bukan angka mati), dan status (Meet/Exceed/dst) memakai formula ambang batas yang SAMA dengan kolom tahun-tahun sebelumnya (sebelumnya kolom Q1 2026 di-ketik manual, tidak konsisten dengan formula tahun lalu).</t>
  </si>
  <si>
    <t xml:space="preserve">• Sheet 'Sheet1' (draft yang tidak terpakai, cuma 1 baris) dihapus.</t>
  </si>
  <si>
    <t xml:space="preserve">2. BUG YANG DITEMUKAN &amp; DIPERBAIKI (PENTING)</t>
  </si>
  <si>
    <t xml:space="preserve">Saat formula lama diganti dengan link otomatis ke raw data, ditemukan 3 kesalahan formula di file asli:</t>
  </si>
  <si>
    <t xml:space="preserve">  a) Satria Antaran Prima – Mailing Room: formula Timeline ("=AVERAGE(I3:P3)*35%") salah rentang — ikut merata-ratakan kolom Quality &amp; hasil weighted Quality (M3) alih-alih hanya kolom Timeline (N:P). Total Score resmi 3.063272 → seharusnya 3.404167. Status TETAP 'Meet Expectation', tidak berubah.</t>
  </si>
  <si>
    <t xml:space="preserve">  b) Reycom Document Solution (Printing &amp; DMC): formula Relationship di S3 tertulis "=AVERAGE(30%)" (bug ketik — hanya merata-ratakan angka 30%, bukan skor asli 5,5,5 dari user). Total Score resmi 3.566667 → seharusnya 4.766667. Status BERUBAH dari 'Meet Expectation' menjadi 'Exceed Expectation'. Ini temuan paling signifikan — mohon dikonfirmasi ke SRM/tim terkait karena bisa mempengaruhi rekomendasi kontrak vendor ini.</t>
  </si>
  <si>
    <t xml:space="preserve">  c) HISTORICAL!T18 &amp; T19 (kolom Repetition untuk TMF &amp; Reycom): formula VLOOKUP menunjuk ke file eksternal ('[1]RESULT!...') yang sudah tidak ada, sehingga akan error #NAME? begitu file dibuka ulang di aplikasi manapun selain cache lama. Sudah diganti dengan nilai terakhir yang ter-cache (3 dan 3.541667).</t>
  </si>
  <si>
    <t xml:space="preserve">3. CARA PAKAI UNTUK Q2 2026</t>
  </si>
  <si>
    <t xml:space="preserve">  1) Tempel hasil export Microsoft Forms Q2 sebagai sheet baru, misal 'RAW DATA Q2 - 1' / 'RAW DATA Q2 - 2' (pastikan struktur kolom &amp; urutan pertanyaan SAMA seperti Q1 — jika Forms diubah, kolom Quality/Timeline/Relationship di CONFIG perlu disesuaikan ulang).</t>
  </si>
  <si>
    <t xml:space="preserve">  2) Di sheet CONFIG, update kolom 'Raw Sheet Name' untuk tiap supplier ke nama sheet Q2 yang baru. Jika ada supplier baru, tambahkan baris baru di CONFIG + baris baru mengikuti di SCORE CALC &amp; RESULT (copy formula dari baris di atasnya, sesuaikan nomor baris).</t>
  </si>
  <si>
    <t xml:space="preserve">  3) Semua skor di SCORE CALC dan RESULT akan otomatis ter-update. Isi manual hanya 2 kolom di RESULT: 'Assessment Result (by SRM)' dan 'Repetition of Below Expectation'.</t>
  </si>
  <si>
    <t xml:space="preserve">  4) Tambahkan kolom baru di HISTORICAL (misal AB/AC/AD untuk Q2 2026 Score/Comment/Remarks), link Score ke RESULT seperti pola Q1, dan pakai formula ambang batas yang sama (lihat kolom Y/AA sebagai contoh).</t>
  </si>
  <si>
    <t xml:space="preserve">  5) Update SUMMARY!B2 (Periode Review) dan B4 (Total Vendor Kritis) sesuai kondisi Q2.</t>
  </si>
  <si>
    <t xml:space="preserve">4. STRUKTUR SHEET</t>
  </si>
  <si>
    <t xml:space="preserve">  README        — panduan ini</t>
  </si>
  <si>
    <t xml:space="preserve">  CONFIG        — mapping supplier ke kolom raw data (edit di sini untuk quarter baru)</t>
  </si>
  <si>
    <t xml:space="preserve">  RAW DATA Q1 - 1 / 2  — data mentah asli dari Microsoft Forms (jangan diedit, ini sumber data)</t>
  </si>
  <si>
    <t xml:space="preserve">  SCORE CALC    — kalkulasi skor otomatis per supplier (Quality/Timeline/Relationship/Total/Status)</t>
  </si>
  <si>
    <t xml:space="preserve">  RESULT        — tabel konsolidasi hasil akhir per supplier, siap dipakai untuk laporan</t>
  </si>
  <si>
    <t xml:space="preserve">  SUMMARY       — ringkasan keseluruhan (jumlah vendor, % evaluasi, status)</t>
  </si>
  <si>
    <t xml:space="preserve">  HISTORICAL    — tren skor lintas kuartal/tahun per supplier</t>
  </si>
  <si>
    <t xml:space="preserve">5. AMBANG BATAS STATUS (mengikuti metodologi HISTORICAL yang sudah ada)</t>
  </si>
  <si>
    <t xml:space="preserve">  Score &gt; 4.99        → Exceptional</t>
  </si>
  <si>
    <t xml:space="preserve">  Score &gt; 3.99         → Exceed Expectation</t>
  </si>
  <si>
    <t xml:space="preserve">  Score &gt;= 2.99       → Meet Expectation</t>
  </si>
  <si>
    <t xml:space="preserve">  Score &gt; 1.9          → Below Expectation</t>
  </si>
  <si>
    <t xml:space="preserve">  Score &lt;= 1.9        → Unsatisfactory</t>
  </si>
  <si>
    <t xml:space="preserve">6. UPDATE Q2 2026 — PER-VENDOR SHEET, DASHBOARD &amp; PERBAIKAN HISTORICAL</t>
  </si>
  <si>
    <t xml:space="preserve">• 21 sheet baru ditambahkan (prefix 'Q2 '), satu per vendor, masing-masing menampilkan SEMUA pertanyaan &amp; jawaban asli (bukan cuma rata-rata) — sesuai request untuk hasil per vendor beserta jawabannya. Setiap baris pertanyaan formula live ke RAW DATA Q2, jadi kalau ada koreksi di raw data, otomatis ter-update.</t>
  </si>
  <si>
    <t xml:space="preserve">• Sheet RESULT Q2 mengonsolidasikan ke-21 vendor tsb + 1 baris untuk Arah Sejahtera Abadi (Kuncit) yang TIDAK mengisi assessment Q2 2026 (statusnya ditandai 'Tidak Dievaluasi Q2').</t>
  </si>
  <si>
    <t xml:space="preserve">• 3 vendor/proyek BARU muncul di Q2 (belum ada di Q1): Karyaputra Suryagemilang - Purecloud Decommisioning, Mitra Integrasi Informatika - Purecloud Decommisioning, dan ESHAEL Indonesia - Talent Assesment. Pertanyaan mereka bersifat custom/baru sama sekali, sehingga pembagian dimensi Quality vs Timeline pada pertanyaan-pertanyaan tsb memakai HEURISTIK KATA KUNCI otomatis (kata seperti 'within', 'schedule', 'SLA', 'on time' → Timeline; sisanya → Quality). Mohon di-spot-check oleh SRM karena beberapa item bisa jadi ambigu (misalnya soal system uptime/backup).</t>
  </si>
  <si>
    <t xml:space="preserve">• Sheet HISTORICAL dirombak total: dari format lama (header 3-tingkat, merged cells, kolom Score/Comment/Remarks terpisah tiap kuartal — sulit dibaca) menjadi 1 baris per vendor, kolom per kuartal (2024 Q1 s.d. 2026 Q2), dengan pewarnaan otomatis (merah=Below Expectation, kuning=Meet, hijau=Exceed/Exceptional) supaya tren langsung kelihatan tanpa perlu buka detail.</t>
  </si>
  <si>
    <t xml:space="preserve">• Sheet DASHBOARD baru: ada kotak pencarian vendor (dropdown), kartu KPI (skor &amp; status kuartal ini, PIC, tren naik/turun vs kuartal lalu), grafik tren skor per kuartal, remarks Q1 &amp; Q2, dan tabel ringkasan SEMUA vendor untuk di-browse tanpa perlu search satu-satu. Tim cukup pilih nama vendor dari dropdown di sel C3.</t>
  </si>
  <si>
    <t xml:space="preserve">7. HAL YANG PERLU DIKONFIRMASI (data Q2 ada anomali)</t>
  </si>
  <si>
    <t xml:space="preserve">  a) SATRIA ANTARAN PRIMA - COURIER SERVICE dinilai oleh 2 business user berbeda (Fifin Sarinurlita &amp; Novia Laras Santi) dengan pertanyaan yang SAMA persis. Skor pada sheet 'Q2 SAP-Courier' dan RESULT Q2 adalah RATA-RATA dari keduanya. TAPI jawaban compliance (Financial/DPIA/DPSQ/VSDDT) kedua user BERTENTANGAN — Fifin bilang semua 'Yes/completed', Novia bilang 'No Implementation' semua. Sheet 'Q2 SAP-Courier' menampilkan keduanya berdampingan dengan catatan peringatan. Mohon dikonfirmasi ke salah satu/keduanya mana yang valid.</t>
  </si>
  <si>
    <t xml:space="preserve">  b) REYCOM DOCUMENT SOLUTION submit assessment 2x oleh user yang sama (Yulia Kurniati) — submission pertama (2 Juli) hanya menjawab 11 dari 21 pertanyaan, submission kedua (8 Juli) menjawab lengkap 21 pertanyaan (superset dari yang pertama). Sheet ini menggunakan submission KEDUA (lebih lengkap) sebagai data resmi. Jika submission pertama seharusnya jadi acuan, beri tahu saya untuk diganti.</t>
  </si>
  <si>
    <t xml:space="preserve">  c) ARAH SEJAHTERA ABADI (Kuncit) tidak mengisi assessment Q2 2026 sama sekali — ditandai 'Tidak Dievaluasi Q2' di RESULT Q2, HISTORICAL, dan DASHBOARD (status terkini fallback ke skor Q1 2026: Below Expectation).</t>
  </si>
  <si>
    <t xml:space="preserve">8. CARA PAKAI DASHBOARD</t>
  </si>
  <si>
    <t xml:space="preserve">  1) Buka sheet DASHBOARD.</t>
  </si>
  <si>
    <t xml:space="preserve">  2) Klik sel C3, pilih vendor dari dropdown (atau ketik sebagian nama untuk filter).</t>
  </si>
  <si>
    <t xml:space="preserve">  3) Kartu KPI, grafik tren, dan remarks otomatis update sesuai vendor yang dipilih.</t>
  </si>
  <si>
    <t xml:space="preserve">  4) Scroll ke bawah untuk melihat tabel ringkasan SEMUA vendor sekaligus (tidak perlu search satu-satu).</t>
  </si>
  <si>
    <t xml:space="preserve">  5) Untuk detail jawaban per pertanyaan suatu vendor, buka sheet 'Q2 [nama vendor]' (contoh: 'Q2 ITSEC').</t>
  </si>
  <si>
    <t xml:space="preserve">DASHBOARD — CRITICAL SUPPLIER PERFORMANCE REVIEW</t>
  </si>
  <si>
    <t xml:space="preserve">🔍 Cari Vendor:</t>
  </si>
  <si>
    <t xml:space="preserve">ITSEC ASIA - PENETRATION TEST</t>
  </si>
  <si>
    <t xml:space="preserve">MatchRow</t>
  </si>
  <si>
    <t xml:space="preserve">(pilih dari dropdown, atau ketik sebagian nama)</t>
  </si>
  <si>
    <t xml:space="preserve">Vendor</t>
  </si>
  <si>
    <t xml:space="preserve">Service</t>
  </si>
  <si>
    <t xml:space="preserve">PIC Saat Ini</t>
  </si>
  <si>
    <t xml:space="preserve">Skor Q2 2026</t>
  </si>
  <si>
    <t xml:space="preserve">Status Q2 2026</t>
  </si>
  <si>
    <t xml:space="preserve">Skor Q1 2026</t>
  </si>
  <si>
    <t xml:space="preserve">Tren vs Q1</t>
  </si>
  <si>
    <t xml:space="preserve">TREN SKOR PER KUARTAL</t>
  </si>
  <si>
    <t xml:space="preserve">2024 Q1</t>
  </si>
  <si>
    <t xml:space="preserve">2024 Q2</t>
  </si>
  <si>
    <t xml:space="preserve">2024 Q3</t>
  </si>
  <si>
    <t xml:space="preserve">2024 Q4</t>
  </si>
  <si>
    <t xml:space="preserve">2025 Q1</t>
  </si>
  <si>
    <t xml:space="preserve">2025 Q2</t>
  </si>
  <si>
    <t xml:space="preserve">2025 Q3</t>
  </si>
  <si>
    <t xml:space="preserve">2025 Q4</t>
  </si>
  <si>
    <t xml:space="preserve">2026 Q1</t>
  </si>
  <si>
    <t xml:space="preserve">2026 Q2</t>
  </si>
  <si>
    <t xml:space="preserve">(data pendukung grafik)</t>
  </si>
  <si>
    <t xml:space="preserve">REMARKS / FEEDBACK</t>
  </si>
  <si>
    <t xml:space="preserve">Q1 2026:</t>
  </si>
  <si>
    <t xml:space="preserve">Q2 2026:</t>
  </si>
  <si>
    <t xml:space="preserve">RINGKASAN SEMUA VENDOR (Q2 2026)</t>
  </si>
  <si>
    <t xml:space="preserve">No</t>
  </si>
  <si>
    <t xml:space="preserve">Status Terkini</t>
  </si>
  <si>
    <t xml:space="preserve">Tren</t>
  </si>
  <si>
    <t xml:space="preserve">HISTORICAL PERFORMANCE — TREN SKOR PER VENDOR</t>
  </si>
  <si>
    <t xml:space="preserve">Service Scope</t>
  </si>
  <si>
    <t xml:space="preserve">PIC Q2 2026</t>
  </si>
  <si>
    <t xml:space="preserve">Remarks Q1 2026</t>
  </si>
  <si>
    <t xml:space="preserve">Remarks Q2 2026</t>
  </si>
  <si>
    <t xml:space="preserve">Search Key</t>
  </si>
  <si>
    <t xml:space="preserve">INDOSAT</t>
  </si>
  <si>
    <t xml:space="preserve">LAYANAN PBX BERBASISKAN CLOUD DENGAN TEKNOLOGI SIP TRUNK</t>
  </si>
  <si>
    <t xml:space="preserve">INFORMASI TEKNOLOGI INDONESIA</t>
  </si>
  <si>
    <t xml:space="preserve">PENYEDIAAN JASA SMS BROADCAST DAN JASA SMS PULL; CONNECTIVITY PRIMARY LINK</t>
  </si>
  <si>
    <t xml:space="preserve">MITRA INTEGRASI INFORMATIKA</t>
  </si>
  <si>
    <t xml:space="preserve">SFDC MAINTENANCE</t>
  </si>
  <si>
    <t xml:space="preserve">MULTIFILING MITRA INDONESIA</t>
  </si>
  <si>
    <t xml:space="preserve">RECORD MANAGEMENT SERVICE</t>
  </si>
  <si>
    <t xml:space="preserve">CIPTADRA SOFTINDO</t>
  </si>
  <si>
    <t xml:space="preserve">PEMELIHARAAN PERANGKAT LUNAK AXITS  DAN PERANGKAT LUNAK DMTM</t>
  </si>
  <si>
    <t xml:space="preserve">INMOTION INOVASI TEKNOLOGI</t>
  </si>
  <si>
    <t xml:space="preserve">JASA APLIKASI CHATBOT DAN LIVE CHAT</t>
  </si>
  <si>
    <t xml:space="preserve">SATRIA ANTARAN PRIMA TBK</t>
  </si>
  <si>
    <t xml:space="preserve">PENGIRIMAN POLIS DOKUMEN DAN PAKET DALAM NEGERI</t>
  </si>
  <si>
    <t xml:space="preserve">MAILING ROOM</t>
  </si>
  <si>
    <t xml:space="preserve">TARGET SUKSES SINERGI</t>
  </si>
  <si>
    <t xml:space="preserve">PENGIRIMAN EMAIL MARKETING AUTOMATION</t>
  </si>
  <si>
    <t xml:space="preserve">WIZ TECHNOLOGY INDONESIA</t>
  </si>
  <si>
    <t xml:space="preserve">VOICE BOT REMINDER CALL</t>
  </si>
  <si>
    <t xml:space="preserve">N/A</t>
  </si>
  <si>
    <t xml:space="preserve">-</t>
  </si>
  <si>
    <t xml:space="preserve">KARYAPUTRA SURYAGEMILANG</t>
  </si>
  <si>
    <t xml:space="preserve">TELEMARKETING REVAMP PROJECT</t>
  </si>
  <si>
    <t xml:space="preserve">ARAH SEJAHTERA ABADI</t>
  </si>
  <si>
    <t xml:space="preserve">PERJANJIAN SEWA MENYEWA</t>
  </si>
  <si>
    <t xml:space="preserve">DELOITTE CONSULTING</t>
  </si>
  <si>
    <t xml:space="preserve">DATA PRIVACY TOOLS &amp; PELATIHAN PERSONAL DATA PROTECTION (PDP)</t>
  </si>
  <si>
    <t xml:space="preserve">SUTRA MANAGEMENT CONSULTANCIES</t>
  </si>
  <si>
    <t xml:space="preserve">IMPLEMENTASI SAS IFRS17</t>
  </si>
  <si>
    <t xml:space="preserve">TMF INDONESIA</t>
  </si>
  <si>
    <t xml:space="preserve">PAYROLL</t>
  </si>
  <si>
    <t xml:space="preserve">REYCOM DOCUMENT SOLUTION</t>
  </si>
  <si>
    <t xml:space="preserve">PRINTING &amp; DMC</t>
  </si>
  <si>
    <t xml:space="preserve">FPT METRODATA INDONESIA</t>
  </si>
  <si>
    <t xml:space="preserve">PENETRATION TEST</t>
  </si>
  <si>
    <t xml:space="preserve">IPROTEKSI TELEMATIKA</t>
  </si>
  <si>
    <t xml:space="preserve">ITSEC ASIA</t>
  </si>
  <si>
    <t xml:space="preserve">Karyaputra Suryagemilang</t>
  </si>
  <si>
    <t xml:space="preserve">Purecloud Decommisioning</t>
  </si>
  <si>
    <t xml:space="preserve">Mitra Integrasi Informatika</t>
  </si>
  <si>
    <t xml:space="preserve">ESHAEL Indonesia</t>
  </si>
  <si>
    <t xml:space="preserve">Talent Assesment</t>
  </si>
  <si>
    <t xml:space="preserve">PIC (User)</t>
  </si>
  <si>
    <t xml:space="preserve">Total Score</t>
  </si>
  <si>
    <t xml:space="preserve">Status</t>
  </si>
  <si>
    <t xml:space="preserve">Remarks</t>
  </si>
  <si>
    <t xml:space="preserve">Catatan Data</t>
  </si>
  <si>
    <t xml:space="preserve">Itsec Asia</t>
  </si>
  <si>
    <t xml:space="preserve">Penetration Testing</t>
  </si>
  <si>
    <t xml:space="preserve">Fauzi ARYANTO</t>
  </si>
  <si>
    <t xml:space="preserve">Iproteksi Telematika</t>
  </si>
  <si>
    <t xml:space="preserve">FPT Metrodata</t>
  </si>
  <si>
    <t xml:space="preserve">Satria Antaran Prima</t>
  </si>
  <si>
    <t xml:space="preserve">Mailing Room</t>
  </si>
  <si>
    <t xml:space="preserve">Ibnu KUMALA</t>
  </si>
  <si>
    <t xml:space="preserve">Informasi Teknologi Indonesia</t>
  </si>
  <si>
    <t xml:space="preserve">SMS Broadcast</t>
  </si>
  <si>
    <t xml:space="preserve">Fifin SARINURLITA</t>
  </si>
  <si>
    <t xml:space="preserve">Courier Service</t>
  </si>
  <si>
    <t xml:space="preserve">Fifin SARINURLITA, Novia Laras SANTI</t>
  </si>
  <si>
    <t xml:space="preserve">Skor rata-rata 2 business user; JAWABAN COMPLIANCE BERBEDA antar user — cek sheet detail.</t>
  </si>
  <si>
    <t xml:space="preserve">Multifiling Mitra Indonesia</t>
  </si>
  <si>
    <t xml:space="preserve">Record Management Service</t>
  </si>
  <si>
    <t xml:space="preserve">Indosat</t>
  </si>
  <si>
    <t xml:space="preserve">Layanan PBX berbasiskan cloud dengan Teknologi SIP Trunk</t>
  </si>
  <si>
    <t xml:space="preserve">Nuril HUDHA</t>
  </si>
  <si>
    <t xml:space="preserve">Ciptadra Softindo</t>
  </si>
  <si>
    <t xml:space="preserve">Pemeliharaan Axits &amp; DMTM</t>
  </si>
  <si>
    <t xml:space="preserve">Raninta MAHARDI</t>
  </si>
  <si>
    <t xml:space="preserve">Target Sukses Sinergi</t>
  </si>
  <si>
    <t xml:space="preserve">Email Marketing Automation</t>
  </si>
  <si>
    <t xml:space="preserve">Bella Friska DEPARI</t>
  </si>
  <si>
    <t xml:space="preserve">Inmotion Inovasi Teknologi</t>
  </si>
  <si>
    <t xml:space="preserve">Jasa Aplikasi Chatbot dan Live Chat</t>
  </si>
  <si>
    <t xml:space="preserve">Djoko DJOKO</t>
  </si>
  <si>
    <t xml:space="preserve">SFDC Maintenance</t>
  </si>
  <si>
    <t xml:space="preserve">Chandra Nugraha PUTRA</t>
  </si>
  <si>
    <t xml:space="preserve">Sutra Management Consultancies</t>
  </si>
  <si>
    <t xml:space="preserve">Implementasi SAS IFRS17</t>
  </si>
  <si>
    <t xml:space="preserve">Tatang SUTIAMAN</t>
  </si>
  <si>
    <t xml:space="preserve">Reycom Document Solution</t>
  </si>
  <si>
    <t xml:space="preserve">Printing &amp; Data Management Center</t>
  </si>
  <si>
    <t xml:space="preserve">Yulia KURNIATI</t>
  </si>
  <si>
    <t xml:space="preserve">Vendor submit 2x; menggunakan submission terakhir (lebih lengkap).</t>
  </si>
  <si>
    <t xml:space="preserve">Deloitte Consulting</t>
  </si>
  <si>
    <t xml:space="preserve">Data Privacy &amp; Pelatihan Personal Data Protection (PDP)</t>
  </si>
  <si>
    <t xml:space="preserve">M. Andrian Patria Shaleh RIZAL</t>
  </si>
  <si>
    <t xml:space="preserve">TMF Indonesia</t>
  </si>
  <si>
    <t xml:space="preserve">Payroll</t>
  </si>
  <si>
    <t xml:space="preserve">Enung HARYATI</t>
  </si>
  <si>
    <t xml:space="preserve">Karya Putra Surya Gemilang</t>
  </si>
  <si>
    <t xml:space="preserve">Telemarketing Revamp Project</t>
  </si>
  <si>
    <t xml:space="preserve">Wiz Technology</t>
  </si>
  <si>
    <t xml:space="preserve">Voice Bot Reminder Call</t>
  </si>
  <si>
    <t xml:space="preserve">Ravika OKTAVIANI</t>
  </si>
  <si>
    <t xml:space="preserve">Noviani MARBUN</t>
  </si>
  <si>
    <t xml:space="preserve">Vendor/proyek baru; belum ada histori kuartal sebelumnya. Klasifikasi Quality/Timeline pada pertanyaan custom memakai heuristik kata kunci — mohon di-review SRM.</t>
  </si>
  <si>
    <t xml:space="preserve">I Gusti Ayu Mira SETYAWARDHANIE</t>
  </si>
  <si>
    <t xml:space="preserve">Arah Sejahtera Abadi</t>
  </si>
  <si>
    <t xml:space="preserve">Perjanjian Sewa Menyewa</t>
  </si>
  <si>
    <t xml:space="preserve">ibnu.kumala@axa-mandiri.co.id</t>
  </si>
  <si>
    <t xml:space="preserve">Tidak Dievaluasi Q2</t>
  </si>
  <si>
    <t xml:space="preserve">Vendor tidak mengisi assessment pada periode Q2 2026.</t>
  </si>
  <si>
    <t xml:space="preserve">HASIL REVIEW VENDOR — Q2 2026</t>
  </si>
  <si>
    <t xml:space="preserve">PIC (Business User)</t>
  </si>
  <si>
    <t xml:space="preserve">Dimensi</t>
  </si>
  <si>
    <t xml:space="preserve">Pertanyaan</t>
  </si>
  <si>
    <t xml:space="preserve">Skor</t>
  </si>
  <si>
    <t xml:space="preserve">Quality</t>
  </si>
  <si>
    <t xml:space="preserve">Timeline</t>
  </si>
  <si>
    <t xml:space="preserve">Relationship</t>
  </si>
  <si>
    <t xml:space="preserve">Quality Avg (35%)</t>
  </si>
  <si>
    <t xml:space="preserve">Timeline Avg (35%)</t>
  </si>
  <si>
    <t xml:space="preserve">Relationship Avg (30%)</t>
  </si>
  <si>
    <t xml:space="preserve">TOTAL SCORE</t>
  </si>
  <si>
    <t xml:space="preserve">STATUS</t>
  </si>
  <si>
    <t xml:space="preserve">DUE DILIGENCE / COMPLIANCE</t>
  </si>
  <si>
    <t xml:space="preserve">Financial Assessment</t>
  </si>
  <si>
    <t xml:space="preserve">Reputational Assessment</t>
  </si>
  <si>
    <t xml:space="preserve">DPIA</t>
  </si>
  <si>
    <t xml:space="preserve">DPSQ</t>
  </si>
  <si>
    <t xml:space="preserve">VSDDT</t>
  </si>
  <si>
    <t xml:space="preserve">Action Plan</t>
  </si>
  <si>
    <t xml:space="preserve">Informasi Teknologi Indonesia - SMS Broadcast</t>
  </si>
  <si>
    <t xml:space="preserve">Catatan</t>
  </si>
  <si>
    <t xml:space="preserve">Skor merupakan RATA-RATA dari 2 business user yang menilai vendor/service yang sama pada periode ini.</t>
  </si>
  <si>
    <t xml:space="preserve">Novia Laras SANTI</t>
  </si>
  <si>
    <t xml:space="preserve">⚠ Catatan</t>
  </si>
  <si>
    <t xml:space="preserve">Jawaban compliance dari 2 user BERBEDA — mohon konfirmasi dengan SRM/PIC terkait mana yang valid.</t>
  </si>
  <si>
    <t xml:space="preserve">Fifin SARINURLITA:</t>
  </si>
  <si>
    <t xml:space="preserve">Novia Laras SANTI:</t>
  </si>
  <si>
    <t xml:space="preserve">Vendor submit assessment 2x pada periode ini; sheet ini menggunakan submission TERAKHIR (paling lengkap).</t>
  </si>
  <si>
    <t xml:space="preserve">CRITICAL SUPPLIER PERFORMANCE REVIEW - SUMMARY</t>
  </si>
  <si>
    <t xml:space="preserve">Periode Review</t>
  </si>
  <si>
    <t xml:space="preserve">Q1 2026</t>
  </si>
  <si>
    <t xml:space="preserve">Jumlah Vendor Dievaluasi (dari RESULT)</t>
  </si>
  <si>
    <t xml:space="preserve">Total Vendor Kritis (Master List) - Input Manual</t>
  </si>
  <si>
    <t xml:space="preserve">% Vendor Dievaluasi</t>
  </si>
  <si>
    <t xml:space="preserve">Jumlah "Meet / Exceed Expectation"</t>
  </si>
  <si>
    <t xml:space="preserve">Jumlah "Under Performance" (Below Expectation)</t>
  </si>
  <si>
    <t xml:space="preserve">Vendor Critical Below Expectation</t>
  </si>
  <si>
    <t xml:space="preserve">Supplier &amp; Service (Key)</t>
  </si>
  <si>
    <t xml:space="preserve">PIC Email</t>
  </si>
  <si>
    <t xml:space="preserve">Raw Sheet Name (Quarter Aktif)</t>
  </si>
  <si>
    <t xml:space="preserve">Quality Col Start</t>
  </si>
  <si>
    <t xml:space="preserve">Quality Col End</t>
  </si>
  <si>
    <t xml:space="preserve">Timeline Col Start</t>
  </si>
  <si>
    <t xml:space="preserve">Timeline Col End</t>
  </si>
  <si>
    <t xml:space="preserve">Relationship Col Start</t>
  </si>
  <si>
    <t xml:space="preserve">Relationship Col End</t>
  </si>
  <si>
    <t xml:space="preserve">Remarks Col</t>
  </si>
  <si>
    <t xml:space="preserve">Financial Assessment Col</t>
  </si>
  <si>
    <t xml:space="preserve">Reputational Col</t>
  </si>
  <si>
    <t xml:space="preserve">DPIA Required Col</t>
  </si>
  <si>
    <t xml:space="preserve">DPSQ Required Col</t>
  </si>
  <si>
    <t xml:space="preserve">VSDDT Required Col</t>
  </si>
  <si>
    <t xml:space="preserve">Action Plan Col</t>
  </si>
  <si>
    <t xml:space="preserve">Itsec Asia - Penetration Testing</t>
  </si>
  <si>
    <t xml:space="preserve">fauzi.aryanto@axa-mandiri.co.id</t>
  </si>
  <si>
    <t xml:space="preserve">RAW DATA Q1 - 1</t>
  </si>
  <si>
    <t xml:space="preserve">FJ</t>
  </si>
  <si>
    <t xml:space="preserve">FL</t>
  </si>
  <si>
    <t xml:space="preserve">FN</t>
  </si>
  <si>
    <t xml:space="preserve">FP</t>
  </si>
  <si>
    <t xml:space="preserve">GH</t>
  </si>
  <si>
    <t xml:space="preserve">GJ</t>
  </si>
  <si>
    <t xml:space="preserve">GS</t>
  </si>
  <si>
    <t xml:space="preserve">GK</t>
  </si>
  <si>
    <t xml:space="preserve">GL</t>
  </si>
  <si>
    <t xml:space="preserve">GM</t>
  </si>
  <si>
    <t xml:space="preserve">GN</t>
  </si>
  <si>
    <t xml:space="preserve">GO</t>
  </si>
  <si>
    <t xml:space="preserve">GQ</t>
  </si>
  <si>
    <t xml:space="preserve">Iproteksi Telematika - Penetration Testing</t>
  </si>
  <si>
    <t xml:space="preserve">FG</t>
  </si>
  <si>
    <t xml:space="preserve">FI</t>
  </si>
  <si>
    <t xml:space="preserve">FPT Metrodata - Penetration Testing</t>
  </si>
  <si>
    <t xml:space="preserve">FD</t>
  </si>
  <si>
    <t xml:space="preserve">FF</t>
  </si>
  <si>
    <t xml:space="preserve">Satria Antaran Prima - Mailing Room</t>
  </si>
  <si>
    <t xml:space="preserve">DX</t>
  </si>
  <si>
    <t xml:space="preserve">EE</t>
  </si>
  <si>
    <t xml:space="preserve">Informasi Teknologi Indonesia - SMS Broadcast</t>
  </si>
  <si>
    <t xml:space="preserve">fifin.sarinurlita@axa-mandiri.co.id</t>
  </si>
  <si>
    <t xml:space="preserve">AA</t>
  </si>
  <si>
    <t xml:space="preserve">AK</t>
  </si>
  <si>
    <t xml:space="preserve">FO</t>
  </si>
  <si>
    <t xml:space="preserve">FS</t>
  </si>
  <si>
    <t xml:space="preserve">Satria Antaran Prima - Courier Service</t>
  </si>
  <si>
    <t xml:space="preserve">DI</t>
  </si>
  <si>
    <t xml:space="preserve">DW</t>
  </si>
  <si>
    <t xml:space="preserve">GE</t>
  </si>
  <si>
    <t xml:space="preserve">GG</t>
  </si>
  <si>
    <t xml:space="preserve">Multifiling Mitra Indonesia - Record Management Service</t>
  </si>
  <si>
    <t xml:space="preserve">AY</t>
  </si>
  <si>
    <t xml:space="preserve">BI</t>
  </si>
  <si>
    <t xml:space="preserve">FU</t>
  </si>
  <si>
    <t xml:space="preserve">FX</t>
  </si>
  <si>
    <t xml:space="preserve">Indosat - Layanan PBX berbasiskan cloud dengan Teknologi SIP Trunk</t>
  </si>
  <si>
    <t xml:space="preserve">nuril.hudha@axa-mandiri.co.id</t>
  </si>
  <si>
    <t xml:space="preserve">G</t>
  </si>
  <si>
    <t xml:space="preserve">Z</t>
  </si>
  <si>
    <t xml:space="preserve">Ciptadra Softindo - Pemeliharaan Axits &amp; DMTM</t>
  </si>
  <si>
    <t xml:space="preserve">raninta.mahardi@axa-mandiri.co.id</t>
  </si>
  <si>
    <t xml:space="preserve">BJ</t>
  </si>
  <si>
    <t xml:space="preserve">BW</t>
  </si>
  <si>
    <t xml:space="preserve">FY</t>
  </si>
  <si>
    <t xml:space="preserve">GD</t>
  </si>
  <si>
    <t xml:space="preserve">Target Sukses Sinergi - Email Marketing Automation</t>
  </si>
  <si>
    <t xml:space="preserve">bella.depari@axa-mandiri.co.id</t>
  </si>
  <si>
    <t xml:space="preserve">EF</t>
  </si>
  <si>
    <t xml:space="preserve">EL</t>
  </si>
  <si>
    <t xml:space="preserve">Inmotion Inovasi Teknologi - Jasa Aplikasi Chatbot dan Live Chat</t>
  </si>
  <si>
    <t xml:space="preserve">djoko.djoko@axa-mandiri.co.id</t>
  </si>
  <si>
    <t xml:space="preserve">BX</t>
  </si>
  <si>
    <t xml:space="preserve">DH</t>
  </si>
  <si>
    <t xml:space="preserve">Mitra Integrasi Informatika - SFDC Maintenance</t>
  </si>
  <si>
    <t xml:space="preserve">chandra.putra@axa-mandiri.co.id</t>
  </si>
  <si>
    <t xml:space="preserve">AL</t>
  </si>
  <si>
    <t xml:space="preserve">AX</t>
  </si>
  <si>
    <t xml:space="preserve">Sutra Management Consultancies - Implementasi SAS IFRS17</t>
  </si>
  <si>
    <t xml:space="preserve">andreas.boedijanto@axa-mandiri.co.id</t>
  </si>
  <si>
    <t xml:space="preserve">RAW DATA Q1 - 2</t>
  </si>
  <si>
    <t xml:space="preserve">AT</t>
  </si>
  <si>
    <t xml:space="preserve">BN</t>
  </si>
  <si>
    <t xml:space="preserve">CJ</t>
  </si>
  <si>
    <t xml:space="preserve">CL</t>
  </si>
  <si>
    <t xml:space="preserve">CS</t>
  </si>
  <si>
    <t xml:space="preserve">CU</t>
  </si>
  <si>
    <t xml:space="preserve">DF</t>
  </si>
  <si>
    <t xml:space="preserve">CV</t>
  </si>
  <si>
    <t xml:space="preserve">CW</t>
  </si>
  <si>
    <t xml:space="preserve">CX</t>
  </si>
  <si>
    <t xml:space="preserve">CZ</t>
  </si>
  <si>
    <t xml:space="preserve">DB</t>
  </si>
  <si>
    <t xml:space="preserve">DD</t>
  </si>
  <si>
    <t xml:space="preserve">Reycom Document Solution - Printing &amp; Data Management Center</t>
  </si>
  <si>
    <t xml:space="preserve">yulia.kurniati@axa-mandiri.co.id</t>
  </si>
  <si>
    <t xml:space="preserve">CD</t>
  </si>
  <si>
    <t xml:space="preserve">CI</t>
  </si>
  <si>
    <t xml:space="preserve">CM</t>
  </si>
  <si>
    <t xml:space="preserve">CO</t>
  </si>
  <si>
    <t xml:space="preserve">Arah Sejahtera Abadi - Perjanjian Sewa Menyewa</t>
  </si>
  <si>
    <t xml:space="preserve">AH</t>
  </si>
  <si>
    <t xml:space="preserve">Deloitte Consulting - Data Privacy &amp; Pelatihan Personal Data Protection (PDP)</t>
  </si>
  <si>
    <t xml:space="preserve">sony.nugroho@axa-mandiri.co.id</t>
  </si>
  <si>
    <t xml:space="preserve">AI</t>
  </si>
  <si>
    <t xml:space="preserve">AS</t>
  </si>
  <si>
    <t xml:space="preserve">TMF Indonesia - Payroll</t>
  </si>
  <si>
    <t xml:space="preserve">enung.haryati@axa-mandiri.co.id</t>
  </si>
  <si>
    <t xml:space="preserve">CC</t>
  </si>
  <si>
    <t xml:space="preserve">CP</t>
  </si>
  <si>
    <t xml:space="preserve">CR</t>
  </si>
  <si>
    <t xml:space="preserve">Karya Putra Surya Gemilang - Telemarketing Revamp Project</t>
  </si>
  <si>
    <t xml:space="preserve">reza.resdilana@axa-mandiri.co.id</t>
  </si>
  <si>
    <t xml:space="preserve">O</t>
  </si>
  <si>
    <t xml:space="preserve">Y</t>
  </si>
  <si>
    <t xml:space="preserve">Supplier &amp; Service</t>
  </si>
  <si>
    <t xml:space="preserve">Match Row (helper)</t>
  </si>
  <si>
    <t xml:space="preserve">Supplier Name</t>
  </si>
  <si>
    <t xml:space="preserve">Remarks (dari User)</t>
  </si>
  <si>
    <t xml:space="preserve">DD Result (by User) - Auto</t>
  </si>
  <si>
    <t xml:space="preserve">Assessment Result (by SRM) - Manual Input</t>
  </si>
  <si>
    <t xml:space="preserve">Repetition Below Expectation - Manual Input</t>
  </si>
  <si>
    <t xml:space="preserve">Helper: Below Expectation/Unsatisfactory Name</t>
  </si>
  <si>
    <t xml:space="preserve">Start time</t>
  </si>
  <si>
    <t xml:space="preserve">Completion time</t>
  </si>
  <si>
    <t xml:space="preserve">Email</t>
  </si>
  <si>
    <t xml:space="preserve">Name</t>
  </si>
  <si>
    <t xml:space="preserve">User Name</t>
  </si>
  <si>
    <t xml:space="preserve">Supplier and Service</t>
  </si>
  <si>
    <t xml:space="preserve">How would you rate Supplier's ability to understand and meet your needs?</t>
  </si>
  <si>
    <t xml:space="preserve">How would you rate the Quality of fulfillment of specifications required by Perfect Assistant?</t>
  </si>
  <si>
    <t xml:space="preserve">How would you rate the data model of source of leads on customer level, which contains Existing Customers, Potential Customers, and Hot Leads?</t>
  </si>
  <si>
    <t xml:space="preserve">How would you rate the Leads activity evidence and result details, such as Call, Appointment, Visit, and Closing result evidence?</t>
  </si>
  <si>
    <t xml:space="preserve">How would you rate the Sales Activity Management process, as tracked by the Sales Leader and sorted by time range?</t>
  </si>
  <si>
    <t xml:space="preserve">How would you rate the Notification to Sales Team which consist of:</t>
  </si>
  <si>
    <t xml:space="preserve">How would you rate the telephony features which enable to mask either/both Customers’ and Agents’ personal phone number for better customer service and better protection of Customers’ privacy?</t>
  </si>
  <si>
    <t xml:space="preserve">How would you rate the assignment features which enable leaders to re-assign the leads to other FA (e.g. FA resigned or move to other branch then the Leads will be assigned to existing FA)?</t>
  </si>
  <si>
    <t xml:space="preserve">How would you rate the System Availability, Redundancy, and Overload Protection?</t>
  </si>
  <si>
    <t xml:space="preserve">How would you rate the Security Access?</t>
  </si>
  <si>
    <t xml:space="preserve">How would you rate the Audit Trail?</t>
  </si>
  <si>
    <t xml:space="preserve">How would you rate the Overall Supplier's reports including Report of Leads activity record and tracking?</t>
  </si>
  <si>
    <t xml:space="preserve">How would you rate the Resources / Authorized Personel Commitment and Qualification?</t>
  </si>
  <si>
    <t xml:space="preserve">How would you rate supplier initiative to take mitigation/preventive action to prevent recurring problem?</t>
  </si>
  <si>
    <t xml:space="preserve">How would you rate supplier compliance with administrative processes, including completion of draft cooperation contract?</t>
  </si>
  <si>
    <t xml:space="preserve">How would you rate the Integration with Perfect Assistant?</t>
  </si>
  <si>
    <t xml:space="preserve">How would you rate the SIT dan UAT Phase?</t>
  </si>
  <si>
    <t xml:space="preserve">How would you rate the use of channels to avoid customer data leaks?</t>
  </si>
  <si>
    <t xml:space="preserve">How would you rate the Access to the recording dashboard?</t>
  </si>
  <si>
    <t xml:space="preserve">How would you rate the Security compare to its standard? </t>
  </si>
  <si>
    <t xml:space="preserve">How would you rate Supplier's ability to understand and meet your needs?1</t>
  </si>
  <si>
    <t xml:space="preserve">How would you rate the goods/services provided by the Supplier against the agreed standards?</t>
  </si>
  <si>
    <t xml:space="preserve">How would you rate the accuracy of the data in the Supplier's reports?</t>
  </si>
  <si>
    <t xml:space="preserve">How would you rate overall quality of the work reports provided by the Supplier?</t>
  </si>
  <si>
    <t xml:space="preserve">How would you rate the solutions provided when there is trouble?</t>
  </si>
  <si>
    <t xml:space="preserve">How would you rate the resolution to the problem that occurred?</t>
  </si>
  <si>
    <t xml:space="preserve">How would you rate the speed of resolution given to problems that occur?</t>
  </si>
  <si>
    <t xml:space="preserve">How would you rate the supplier initiative to take mitigation/preventive action to prevent the problem from recurring?</t>
  </si>
  <si>
    <t xml:space="preserve">How would you rate supplier compliance with administrative processes, including completion of draft cooperation contract?1</t>
  </si>
  <si>
    <t xml:space="preserve">How would you rate the Implementation of UAT?</t>
  </si>
  <si>
    <t xml:space="preserve">How would you rate the maintenance includes bug fixing and support for system problems that occur in the JATIS MOBILE application/service?</t>
  </si>
  <si>
    <t xml:space="preserve">How would you rate Supplier's ability to understand and meet your needs?2</t>
  </si>
  <si>
    <t xml:space="preserve">How would you rate the The goods/services provided by the Supplier against the agreed standards?</t>
  </si>
  <si>
    <t xml:space="preserve">How would you rate the General support and maintenance requirement?</t>
  </si>
  <si>
    <t xml:space="preserve">How would you rate the Performance Management Requirement which includes to support low latency, documentation, performance monitoring, and any major or minor updates?</t>
  </si>
  <si>
    <t xml:space="preserve">How would you rate the Security Management Requirement?</t>
  </si>
  <si>
    <t xml:space="preserve">How would you rate the Supporting Model which includes onsite support from dedicated engineers and its service level agreement (SLA)?</t>
  </si>
  <si>
    <t xml:space="preserve">How would you rate the accuracy of the data in the Supplier's reports?1</t>
  </si>
  <si>
    <t xml:space="preserve">How would you rate overall quality of the work reports provided by the Supplier?1</t>
  </si>
  <si>
    <t xml:space="preserve">How would you rate the solutions provided when there is trouble?1</t>
  </si>
  <si>
    <t xml:space="preserve">How would you rate the resolution to the problem that occurred?1</t>
  </si>
  <si>
    <t xml:space="preserve">How would you rate the speed of resolution given to problems that occur?1</t>
  </si>
  <si>
    <t xml:space="preserve">How would you rate the supplier initiative to take mitigation/preventive action to prevent the problem from recurring?1</t>
  </si>
  <si>
    <t xml:space="preserve">How would you rate supplier compliance with administrative processes, including completion of draft cooperation contract?2</t>
  </si>
  <si>
    <t xml:space="preserve">How would you rate The goods/services provided by the Supplier against the agreed standards</t>
  </si>
  <si>
    <t xml:space="preserve">How would you rate the supplier's services?</t>
  </si>
  <si>
    <t xml:space="preserve">How would you rate the supplier's service in providing a guarantee of administrative services for archive management, computer data collection for all AXA cartons, and ease of access for AXA to the ar</t>
  </si>
  <si>
    <t xml:space="preserve">How would you rate the supplier's service in providing the required number of empty cartons?</t>
  </si>
  <si>
    <t xml:space="preserve">How would you rate overall quality of the work reports provided by the Supplier?2</t>
  </si>
  <si>
    <t xml:space="preserve">How would you rate the completeness report containing the number of AXA cartons deposited in the supplier's warehouse, a list of cartons that are being borrowed (retrieval) and have not been returned </t>
  </si>
  <si>
    <t xml:space="preserve">How would you rate the solutions provided when there is trouble?2</t>
  </si>
  <si>
    <t xml:space="preserve">How would you rate the resolution to the problem that occurred?2</t>
  </si>
  <si>
    <t xml:space="preserve">How would you rate the speed of resolution given to problems that occur?2</t>
  </si>
  <si>
    <t xml:space="preserve">How would you rate the supplier initiative to take mitigation/preventive action to prevent the problem from recurring?2</t>
  </si>
  <si>
    <t xml:space="preserve">How would you rate supplier compliance with administrative processes, including completion of draft cooperation contract?3</t>
  </si>
  <si>
    <t xml:space="preserve">How would you rate the goods/services provided by the Supplier against the agreed standards1</t>
  </si>
  <si>
    <t xml:space="preserve">How would you rate overall quality of the work reports provided by the Supplier?3</t>
  </si>
  <si>
    <t xml:space="preserve">How would you rate the solutions provided when there is trouble?3</t>
  </si>
  <si>
    <t xml:space="preserve">How would you rate the resolution to the problem that occurred?3</t>
  </si>
  <si>
    <t xml:space="preserve">How would you rate the supplier initiative to take mitigation/preventive action to prevent the problem from recurring?3</t>
  </si>
  <si>
    <t xml:space="preserve">How would you rate the accuracy of the data in the Supplier's reports?2</t>
  </si>
  <si>
    <t xml:space="preserve">How would you rate the overall quality of the work reports provided by the Supplier?</t>
  </si>
  <si>
    <t xml:space="preserve">How would you rate the competence of people provided by the supplier to provide support (understand AXITS and/or DMTM software)?</t>
  </si>
  <si>
    <t xml:space="preserve">How would you rate the supplier support in providing the form of consultation, offsite and onsite support if there is a disruption to application operations?</t>
  </si>
  <si>
    <t xml:space="preserve">How would you rate the supplier support in doing periodic checks once every 3 months to maintain application quality, including application performance checks (profiling) and error log checks?</t>
  </si>
  <si>
    <t xml:space="preserve">How would you rate the supplier support for updating versions of components, frameworks and libraries issued by third parties with prior written approval from AXA if this is possible?</t>
  </si>
  <si>
    <t xml:space="preserve">How would you rate the suppliers support in compliance to security?</t>
  </si>
  <si>
    <t xml:space="preserve">How would you rate the supplier initiative to take mitigation/preventive action to prevent the problem from recurring?4</t>
  </si>
  <si>
    <t xml:space="preserve">How would you rate supplier compliance with administrative processes, including completion of draft cooperation contract?4</t>
  </si>
  <si>
    <t xml:space="preserve">How would you rate the goods/services provided by the Supplier against the agreed standards2</t>
  </si>
  <si>
    <t xml:space="preserve">How would you rate the Customer Interaction Requirement which includes:</t>
  </si>
  <si>
    <t xml:space="preserve">How would you rate the Case Management which includes:</t>
  </si>
  <si>
    <t xml:space="preserve">How would you rate the Integration process which includes:</t>
  </si>
  <si>
    <t xml:space="preserve">How would you rate the Architectural Requirement?</t>
  </si>
  <si>
    <t xml:space="preserve">How would you rate the Security Requirement?</t>
  </si>
  <si>
    <t xml:space="preserve">How would you rate the Backup and Restore, Capacity and Performance Requirements?</t>
  </si>
  <si>
    <t xml:space="preserve">How would you rate the Operational and Configuration Management?</t>
  </si>
  <si>
    <t xml:space="preserve">How would you rate the accuracy of the data in the Supplier's reports?3</t>
  </si>
  <si>
    <t xml:space="preserve">How would you rate overall quality of the work reports provided by the Supplier?4</t>
  </si>
  <si>
    <t xml:space="preserve">How would you rate the solutions provided when there is trouble?4</t>
  </si>
  <si>
    <t xml:space="preserve">How would you rate the resolution to the problem that occurred?4</t>
  </si>
  <si>
    <t xml:space="preserve">How would you rate the speed of resolution given to problems that occur?3</t>
  </si>
  <si>
    <t xml:space="preserve">How would you rate the supplier initiative to take mitigation/preventive action to prevent the problem from recurring?5</t>
  </si>
  <si>
    <t xml:space="preserve">How would you rate supplier compliance with administrative processes, including completion of draft cooperation contract?5</t>
  </si>
  <si>
    <t xml:space="preserve">How would you rate the accuracy of the data in the Supplier's reports?4</t>
  </si>
  <si>
    <t xml:space="preserve">How would you rate the overall quality of the work reports provided by the Supplier?1</t>
  </si>
  <si>
    <t xml:space="preserve">How would you rate the performing installation, setup and configuration of 3Dolphins?</t>
  </si>
  <si>
    <t xml:space="preserve">How would you rate the integration of 3Dolphins with SalesForce?</t>
  </si>
  <si>
    <t xml:space="preserve">How would you rate the Chatbot Corpus with data provided by AXA?</t>
  </si>
  <si>
    <t xml:space="preserve">How would you rate the supplier's services in providing 3Dolphins Solutions as stated in the Functional Specification Document (FSD) and Technical Specification Document (TSD)?</t>
  </si>
  <si>
    <t xml:space="preserve">How would you rate the supplier's services in conducting System Integration Test (SIT) with AXA IT testing team and IT Project Team?</t>
  </si>
  <si>
    <t xml:space="preserve">How would you rate the supplier's services in conducting User Acceptance Test (UAT) with AXA Business Team and Project IT Team?</t>
  </si>
  <si>
    <t xml:space="preserve">How would you rate the supplier's services in migrating to production server or Go Live and providing support after Go Live?</t>
  </si>
  <si>
    <t xml:space="preserve">How would you rate the supplier's services in providing the human resources needed in the project and timeline according to the agreed scope?</t>
  </si>
  <si>
    <t xml:space="preserve">How would you rate the supplier's services in assigning a Project Manager to coordinate with the AXA team?</t>
  </si>
  <si>
    <t xml:space="preserve">How would you rate the supplier's project documentation as follows:</t>
  </si>
  <si>
    <t xml:space="preserve">How would you rate the supplier support in providing the perform maintenance on all software related to 3Dolphins, which is installed in the AXA data center?</t>
  </si>
  <si>
    <t xml:space="preserve">How would you rate the supplier support in providing 3Dolphins application maintenance service time, namely 24 hours x 7 days a week, 365 days/year?</t>
  </si>
  <si>
    <t xml:space="preserve">How would you rate the supplier support in preparing at least 2 people who understand and are experts in chatbots owned by AXA and can also provide support for services that often occur (eg. New custo</t>
  </si>
  <si>
    <t xml:space="preserve">How would you rate the supplier support in providing support center that can be visited during AXA business hours to respond to any questions and issues that arise?</t>
  </si>
  <si>
    <t xml:space="preserve">How would you rate the supplier support in providing SLA reports to AXA?</t>
  </si>
  <si>
    <t xml:space="preserve">How would you rate the supplier support in providing testing and updates the Chatbot Solution if there is a new software version/release/patch according to the required conditions?</t>
  </si>
  <si>
    <t xml:space="preserve">How would you rate the supplier support in reinstall the 3Dolphins application a maximum of 1 time per year if AXA will upgrade the hardware?</t>
  </si>
  <si>
    <t xml:space="preserve">How would you rate the supplier support in providing a checklist to monitor daily activities?</t>
  </si>
  <si>
    <t xml:space="preserve">How would you rate the supplier support in providing a testing configuration and event logging?</t>
  </si>
  <si>
    <t xml:space="preserve">How would you rate the supplier support in providing a backup for short and long term?</t>
  </si>
  <si>
    <t xml:space="preserve">How would you rate the goods/services provided by the Supplier against the agreed standards3</t>
  </si>
  <si>
    <t xml:space="preserve">How would you rate the accuracy of the data in the Supplier's reports?5</t>
  </si>
  <si>
    <t xml:space="preserve">How would you rate overall quality of the work reports provided by the Supplier?5</t>
  </si>
  <si>
    <t xml:space="preserve">How would you rate the solutions provided when there is trouble?5</t>
  </si>
  <si>
    <t xml:space="preserve">How would you rate the resolution to the problem that occurred?5</t>
  </si>
  <si>
    <t xml:space="preserve">How would you rate the speed of resolution given to problems that occur</t>
  </si>
  <si>
    <t xml:space="preserve">How would you rate the supplier initiative to take mitigation/preventive action to prevent the problem from recurring?6</t>
  </si>
  <si>
    <t xml:space="preserve">How would you rate supplier compliance with administrative processes, including completion of draft cooperation contract?6</t>
  </si>
  <si>
    <t xml:space="preserve">How would you rate the shipping target achievement?</t>
  </si>
  <si>
    <t xml:space="preserve">How would you rate the delivery times? Based on SLA, the delivery time are Monday to Saturday, service levels will remain the same from Monday to Friday.</t>
  </si>
  <si>
    <t xml:space="preserve">How would you rate the Receipt retention period?</t>
  </si>
  <si>
    <t xml:space="preserve">How would you rate the Airway Bill Storage:</t>
  </si>
  <si>
    <t xml:space="preserve">How would you rate the Handling of Policies/Documents and/or delivery process?</t>
  </si>
  <si>
    <t xml:space="preserve">How would you rate the response to complaints/investigations of the delivery process?</t>
  </si>
  <si>
    <t xml:space="preserve">How would you rate the response taken when a delivery failure occurs?</t>
  </si>
  <si>
    <t xml:space="preserve">How would you rate the goods/services provided by the Supplier against the agreed standards?1</t>
  </si>
  <si>
    <t xml:space="preserve">How would you rate the accuracy of the data in the Supplier's reports?6</t>
  </si>
  <si>
    <t xml:space="preserve">How would you rate overall quality of the work reports provided by the Supplier?6</t>
  </si>
  <si>
    <t xml:space="preserve">How would you rate the solutions provided when there is trouble?6</t>
  </si>
  <si>
    <t xml:space="preserve">How would you rate the resolution to the problem that occurred?6</t>
  </si>
  <si>
    <t xml:space="preserve">How would you rate the supplier initiative to take mitigation/preventive action to prevent the problem from recurring?7</t>
  </si>
  <si>
    <t xml:space="preserve">How would you rate the service provided?</t>
  </si>
  <si>
    <t xml:space="preserve">How would you rate the Complaint Handling?</t>
  </si>
  <si>
    <t xml:space="preserve">How would you rate the service provided?1</t>
  </si>
  <si>
    <t xml:space="preserve">How would you rate the accuracy of the data in the Supplier's reports?7</t>
  </si>
  <si>
    <t xml:space="preserve">How would you rate overall quality of the work reports provided by the Supplier?7</t>
  </si>
  <si>
    <t xml:space="preserve">How would you rate the solutions provided when there is trouble?7</t>
  </si>
  <si>
    <t xml:space="preserve">How would you rate the resolution to the problem that occurred?7</t>
  </si>
  <si>
    <t xml:space="preserve">How would you rate the supplier initiative to take mitigation/preventive action to prevent the problem from recurring?8</t>
  </si>
  <si>
    <t xml:space="preserve">How would you rate supplier compliance with administrative processes, including completion of draft cooperation contract?7</t>
  </si>
  <si>
    <t xml:space="preserve">How would you rate the goods/services provided by the Supplier against the agreed standards?2</t>
  </si>
  <si>
    <t xml:space="preserve">How would you rate overall quality of the work reports provided by the Supplier?8</t>
  </si>
  <si>
    <t xml:space="preserve">How would you rate the solutions provided when there is trouble?8</t>
  </si>
  <si>
    <t xml:space="preserve">How would you rate the speed of resolution given to problems that occur?4</t>
  </si>
  <si>
    <t xml:space="preserve">How would you rate the Vendor initiative to take mitigation/preventive action to prevent the problem from recurring?</t>
  </si>
  <si>
    <t xml:space="preserve">How would you rate supplier compliance with administrative processes, including completion of draft cooperation contract?</t>
  </si>
  <si>
    <t xml:space="preserve">How   would you rate supplier ability to provide manpower according to the required position and job description before   the project starts?</t>
  </si>
  <si>
    <t xml:space="preserve">How would you rate the Supplier’s Timelines in replacing manpower?
</t>
  </si>
  <si>
    <t xml:space="preserve">How would you rate the Supplier’s ability to conduct training for TSO?
</t>
  </si>
  <si>
    <t xml:space="preserve">How would you rate the Supplier’s ability to conduct training for Leader?
</t>
  </si>
  <si>
    <t xml:space="preserve">How would you rate the Supplier’s ability to conduct training for Manager?
</t>
  </si>
  <si>
    <t xml:space="preserve">How would you rate the Supplier’s ability to ensure employees achieve an A rating on the KPI Dashboard for 3 consecutive months to qualify for promotion?
</t>
  </si>
  <si>
    <t xml:space="preserve">How would you rate the Supplier’s ability to enforce demotion for employees who receive a D rating for 3 consecutive months?
</t>
  </si>
  <si>
    <t xml:space="preserve">How would you rate the Supplier’s ability to provide accurate and complete data management as per agreed requirements which is providing leads, mapping, until distribute to TSO?
</t>
  </si>
  <si>
    <t xml:space="preserve">How would you rate the Supplier’s ability to ensure connectivity between the telemarketing system and our back end (DMTM) system?
</t>
  </si>
  <si>
    <t xml:space="preserve">How would you rate the Supplier’s ability to recommend suitable premise locations and provide photos as required?
</t>
  </si>
  <si>
    <t xml:space="preserve">How would you rate the Supplier’s ability to develop and execute Sales Activity &amp; Monitoring which include:
</t>
  </si>
  <si>
    <t xml:space="preserve">How would you rate the Technical services that is used to penetrate the application which includes:
1. Technical Specification Design.
2. Hardware and capacity sizing for concurrent requests
3. Functi</t>
  </si>
  <si>
    <t xml:space="preserve">How would you rate the after sales support capability and methodology?</t>
  </si>
  <si>
    <t xml:space="preserve">How would you rate the availability of documentation for service (user manual, troubleshoot document, setup document, etc)?</t>
  </si>
  <si>
    <t xml:space="preserve">How would you rate the Technical services that is used to penetrate the application which includes:
1. Technical Specification Design.
2. Hardware and capacity sizing for concurrent requests
3. Functi1</t>
  </si>
  <si>
    <t xml:space="preserve">How would you rate the after sales support capability and methodology?1</t>
  </si>
  <si>
    <t xml:space="preserve">How would you rate the availability of documentation for product (user manual, troubleshoot document, setup document, etc)?</t>
  </si>
  <si>
    <t xml:space="preserve">How would you rate the Technical services that is used to penetrate the application which includes:
1. Technical Specification Design.
2. Hardware and capacity sizing for concurrent requests
3. Functi2</t>
  </si>
  <si>
    <t xml:space="preserve">How would you rate the after sales support capability and methodology?2</t>
  </si>
  <si>
    <t xml:space="preserve">How would you rate the availability of documentation for product (user manual, troubleshoot document, setup document, etc)?1</t>
  </si>
  <si>
    <t xml:space="preserve">How would you rate the Supplier’s ability to implement the backup plan within 3 hours after system downtime occurs?
</t>
  </si>
  <si>
    <t xml:space="preserve">How would you rate the supplier's timeliness in delivering goods/services compared to the agreed-upon timeline?</t>
  </si>
  <si>
    <t xml:space="preserve">How would you rate the supplier's timeliness in sending reports to you?</t>
  </si>
  <si>
    <t xml:space="preserve">How would you rate the supplier's speed ​​of administrative completion, including completion of contracts draft?</t>
  </si>
  <si>
    <t xml:space="preserve">How would you rate the supplier's timeliness in delivering goods/services compared to the agreed-upon timeline?1</t>
  </si>
  <si>
    <t xml:space="preserve">How would you rate the supplier's timeliness in sending reports to you?
</t>
  </si>
  <si>
    <t xml:space="preserve">How would you rate the supplier's Traffic Confirmation SLA Fulfillment?
</t>
  </si>
  <si>
    <t xml:space="preserve">How would you rate the supplier's speed ​​of administrative completion, including completion of contracts draft?
</t>
  </si>
  <si>
    <t xml:space="preserve">How would you rate the supplier's timeliness in delivering goods/services compared to the agreed-upon timeline?2</t>
  </si>
  <si>
    <t xml:space="preserve">How would you rate the supplier's timeliness in sending reports to you? Based on SLA, suppliers must provide reports on the 10th of each month.
</t>
  </si>
  <si>
    <t xml:space="preserve">How would you rate the supplier's speed ​​of administrative completion, including completion of contracts draft?
1</t>
  </si>
  <si>
    <t xml:space="preserve">How would you rate the supplier's SLA Fulfillment?
</t>
  </si>
  <si>
    <t xml:space="preserve">How would you rate the Supplier's timeliness in delivering goods/services compared to the agreed-upon timeline?3</t>
  </si>
  <si>
    <t xml:space="preserve">How would you reat timeliness of the work reports submitted by the Supplier to you?</t>
  </si>
  <si>
    <t xml:space="preserve">How would you rate the supplier's timeliness in sending reports to you? Based on SLA, support reports should be sent every 3 months on the 10th</t>
  </si>
  <si>
    <t xml:space="preserve">How would you rate the supplier's speed ​​of administrative completion, including completion of contracts draft?1</t>
  </si>
  <si>
    <t xml:space="preserve">How would you rate the supplier's response time? </t>
  </si>
  <si>
    <t xml:space="preserve">How would you rate the supplier's resolution time?</t>
  </si>
  <si>
    <t xml:space="preserve">How would you rate the supplier's timeliness in delivering goods/services compared to the agreed-upon timeline?4</t>
  </si>
  <si>
    <t xml:space="preserve">How would you rate the supplier's timeliness in sending reports to you?1</t>
  </si>
  <si>
    <t xml:space="preserve">How would you rate the supplier's speed ​​of administrative completion, including completion of contracts draft?2</t>
  </si>
  <si>
    <t xml:space="preserve">How would you rate the supplier's communication with you?</t>
  </si>
  <si>
    <t xml:space="preserve">How would you rate the supplier's PIC's availability to be contacted when needed?</t>
  </si>
  <si>
    <t xml:space="preserve">How would you rate the supplier's response speed to you when there are issues?
</t>
  </si>
  <si>
    <t xml:space="preserve">Has the vendor completed the latest Financial Assessment?</t>
  </si>
  <si>
    <t xml:space="preserve">Has the vendor’s Reputational Assessment been performed?</t>
  </si>
  <si>
    <t xml:space="preserve">Does the services require the fulfillment of Data Privacy Impact Assessment (DPIA)?</t>
  </si>
  <si>
    <t xml:space="preserve">Does the services require the fulfillment of Data Privacy Service Provider Questionnaire assessment (DPSQ)?</t>
  </si>
  <si>
    <t xml:space="preserve">Does the services require the fulfillment of Vendor Security Due Diligence Tooling (VSDDT)?</t>
  </si>
  <si>
    <t xml:space="preserve">Has the Vendor Security Due Diligence Tooling (VSDDT) been completed and approved?</t>
  </si>
  <si>
    <t xml:space="preserve">Based on the the results (financial, reputational, DPIA, VSDDT, DPSQ), do you have an action plan in place? If yes, has it been completed, and have you coordinated with the relevant SMEs?</t>
  </si>
  <si>
    <t xml:space="preserve">Have all required actions been completed by your team?</t>
  </si>
  <si>
    <t xml:space="preserve">Please provide feedback or suggestion for the supplier, including areas for improvement</t>
  </si>
  <si>
    <t xml:space="preserve">Fauzi Aryanto</t>
  </si>
  <si>
    <t xml:space="preserve">Yes</t>
  </si>
  <si>
    <t xml:space="preserve">Not required – DPIA is not applicable for this service</t>
  </si>
  <si>
    <t xml:space="preserve">Not required – DPSQ is not applicable for this service</t>
  </si>
  <si>
    <t xml:space="preserve">Required – VSDDT completed and approved</t>
  </si>
  <si>
    <t xml:space="preserve">Yes – All action items have been completed and coordinated with relevant SME</t>
  </si>
  <si>
    <t xml:space="preserve">Currently no need improvement</t>
  </si>
  <si>
    <t xml:space="preserve">no need improvement</t>
  </si>
  <si>
    <t xml:space="preserve">No need improvement</t>
  </si>
  <si>
    <t xml:space="preserve">ibnu kumala</t>
  </si>
  <si>
    <t xml:space="preserve">Required – DPIA completed and approved</t>
  </si>
  <si>
    <t xml:space="preserve">Over all mailing ok, please improve coordinated with Headoffice team for reduce complain/misscomm (ex case overseas shipment )</t>
  </si>
  <si>
    <t xml:space="preserve">fifin sarinurlita</t>
  </si>
  <si>
    <t xml:space="preserve">Required – DPSQ completed and approved</t>
  </si>
  <si>
    <t xml:space="preserve">No – No action items were required</t>
  </si>
  <si>
    <t xml:space="preserve">Jatis has provided good service throughout this year</t>
  </si>
  <si>
    <t xml:space="preserve">Yes – Action items identified, but follow‑up and coordination with relevant SME is still required</t>
  </si>
  <si>
    <t xml:space="preserve">SAP has provided excellent service throughout this year</t>
  </si>
  <si>
    <t xml:space="preserve">impprove innovation dan simplyfy process</t>
  </si>
  <si>
    <t xml:space="preserve">Nuril Hudha</t>
  </si>
  <si>
    <t xml:space="preserve">The performance is getting better, please keep improve the performance.</t>
  </si>
  <si>
    <t xml:space="preserve">Raninta Mahardi</t>
  </si>
  <si>
    <t xml:space="preserve">Performance is Good</t>
  </si>
  <si>
    <t xml:space="preserve">Bella Friska Depari</t>
  </si>
  <si>
    <t xml:space="preserve">Harganya buat next contrac please murahin ya</t>
  </si>
  <si>
    <t xml:space="preserve">DJOKO</t>
  </si>
  <si>
    <t xml:space="preserve">Required – DPSQ not yet completed or approved</t>
  </si>
  <si>
    <t xml:space="preserve">continue performing thorough and frequent periodic checks to ensure that during service hours, there are no issues that could disrupt operations and resolve the remaining unresolved 401 issue
Berikan umpan balik Anda tentang BizChat</t>
  </si>
  <si>
    <t xml:space="preserve">Chandra Nugraha Putra</t>
  </si>
  <si>
    <t xml:space="preserve">Required – VSDDT not yet completed or approved</t>
  </si>
  <si>
    <t xml:space="preserve">verall, the level of support has been satisfactory. The improvements carried out were highly effective, and several demands were consistent with the initial assessment and expectations.</t>
  </si>
  <si>
    <t xml:space="preserve">How would you rate the services provided by the supplier?</t>
  </si>
  <si>
    <t xml:space="preserve">How would you rate overall quality of the work reports provided by the Supplier</t>
  </si>
  <si>
    <t xml:space="preserve">How would you rate the solutions provided by the supplier when there is trouble?</t>
  </si>
  <si>
    <t xml:space="preserve">How would you rate the goods/services provided by the Supplier against the agreed standards</t>
  </si>
  <si>
    <t xml:space="preserve">How would you rate the accuracy of the data in the Supplier's reports?</t>
  </si>
  <si>
    <t xml:space="preserve">How would you rate the supplier implementation on a Project Management Approach, which includes: </t>
  </si>
  <si>
    <t xml:space="preserve">How would you rate the supplier support in providing 1 (one) Technical Support personnel who is specifically assigned? Based on SLA, this technical support will be assigned at Menara Global and Graha </t>
  </si>
  <si>
    <t xml:space="preserve">How would you rate the supplier support in providing technical support personnel who will perform several activities such as:</t>
  </si>
  <si>
    <t xml:space="preserve">How would you rate the supplier support in maintaining 99% SLA for System Availability in providing the Services to AMFS (SLA calculation does not include service downtime triggered by deliverables no</t>
  </si>
  <si>
    <t xml:space="preserve">How would you rate the supplier support in providing Annual Support such as:</t>
  </si>
  <si>
    <t xml:space="preserve">How would you rate services provided by the Supplier against the agreed standards</t>
  </si>
  <si>
    <t xml:space="preserve">How would you rate the services provided by the Supplier which should include:</t>
  </si>
  <si>
    <t xml:space="preserve">How would you rate the supplier's accuracy of the data in the Supplier's reports?</t>
  </si>
  <si>
    <t xml:space="preserve">How would you rate the vendor initiative to take mitigation/preventive action to prevent the problem from recurring?1</t>
  </si>
  <si>
    <t xml:space="preserve">How would you rate the supplier services in carrying out maintenance including repairs to the Common Areas and all other areas of the office not mentioned in the Lease, including electrical systems, a</t>
  </si>
  <si>
    <t xml:space="preserve">How would you rate the supplier services in make repairs to:</t>
  </si>
  <si>
    <t xml:space="preserve">How would you rate the services provided by the Supplier against the agreed standards</t>
  </si>
  <si>
    <t xml:space="preserve">How would you rate the vendor initiative to take mitigation/preventive action to prevent the problem from recurring?2</t>
  </si>
  <si>
    <t xml:space="preserve">How would you rate the supplier's service in providing training materials in accordance with:</t>
  </si>
  <si>
    <t xml:space="preserve">How would you rate the supplier's service in creating a discussion session that covers current conditions, understanding objectives, and discussions using specific cases from the training material wit</t>
  </si>
  <si>
    <t xml:space="preserve">How would you rate the supplier's service in conducting 1 (one) session of Data Privacy and Protection awareness training sessions for AXA and its related business units, along with a post-test.</t>
  </si>
  <si>
    <t xml:space="preserve">How would you rate the supplier's response time for service issues?</t>
  </si>
  <si>
    <t xml:space="preserve">How would you rate the supplier's project management &amp; management report?</t>
  </si>
  <si>
    <t xml:space="preserve">How would you rate the Vendor initiative to take mitigation/preventive action to prevent the problem from recurring?3</t>
  </si>
  <si>
    <t xml:space="preserve">How would you rate the Installation of SAS IFRS17 solution on AXA infrastructure?</t>
  </si>
  <si>
    <t xml:space="preserve">How would you rate the workshops and finalize functional specification documents that summarize requirements which conducted by the supplier?</t>
  </si>
  <si>
    <t xml:space="preserve">How would you rate the implementation of an end-to-end solution flow design for SAS IFRS17?</t>
  </si>
  <si>
    <t xml:space="preserve">How would you rate the Implementation of SAS IFRS17solution?</t>
  </si>
  <si>
    <t xml:space="preserve">How would you rate the End-to-End Calculation Functions which includes:</t>
  </si>
  <si>
    <t xml:space="preserve">How would you rate the PSAK74 Contract Grouping using Data Input and Predefine Rule which generates:</t>
  </si>
  <si>
    <t xml:space="preserve">How would you rate PSAK74 System implementation on its standard and configurable rule which includes:</t>
  </si>
  <si>
    <t xml:space="preserve">How would you rate the currencies and interest rate facilitation?</t>
  </si>
  <si>
    <t xml:space="preserve">How would you rate the capability to estimate the Initial Recognition?</t>
  </si>
  <si>
    <t xml:space="preserve">How would you rate the capability to estimate GMM/PAA/VFA Approach both direct and reinsurance:</t>
  </si>
  <si>
    <t xml:space="preserve">How would you rate the capability to do the Allocation on Actual Cash Flow (CF):</t>
  </si>
  <si>
    <t xml:space="preserve">How would you rate the capability to generate PSAK74 Disclosure in monthly base:</t>
  </si>
  <si>
    <t xml:space="preserve">How would you rate the Common Security Access?</t>
  </si>
  <si>
    <t xml:space="preserve">How would you rate the supplier's service in providing one month warranty support after go-live?</t>
  </si>
  <si>
    <t xml:space="preserve">How would you rate the supplier's services in conducting three-day user training for SAS IFRS17 solution and conducted one-day system administration training for users?</t>
  </si>
  <si>
    <t xml:space="preserve">How would you rate the services provided by the Supplier against the agreed standards1</t>
  </si>
  <si>
    <t xml:space="preserve">How would you rate the Vendor initiative to take mitigation/preventive action to prevent the problem from recurring?4</t>
  </si>
  <si>
    <t xml:space="preserve">How would you rate the implementation and integration with surrounding systems?</t>
  </si>
  <si>
    <t xml:space="preserve">How would you rate the supplier provides testing before the project is carried out?</t>
  </si>
  <si>
    <t xml:space="preserve">How would you rate the technical Documentation includes Specifications and Design, Testing, Operational Documents, Administration, and Maintenance Guide, Installation from scratch, and Tuning Guide?</t>
  </si>
  <si>
    <t xml:space="preserve">How would you rate the Supplier’s ability to deliver monthly Payroll Services?</t>
  </si>
  <si>
    <t xml:space="preserve">How would you rate the Supplier’s ability to deliver Cash Management Services, including the following aspects:</t>
  </si>
  <si>
    <t xml:space="preserve">How would you rate the Supplier’s ability to deliver Compliance Services, including the following aspects:</t>
  </si>
  <si>
    <t xml:space="preserve">How would you rate the Supplier’s ability to deliver BPJS Kesehatan Services?</t>
  </si>
  <si>
    <t xml:space="preserve">How would you rate the Supplier’s ability to comply with penalty provisions for payroll processing?</t>
  </si>
  <si>
    <t xml:space="preserve">How would you rate the Supplier’s ability to execute the Special Project for BPJS Kesehatan?</t>
  </si>
  <si>
    <t xml:space="preserve">How   would you rate the Supplier’s ability to deliver Policy Printing Services SLA?</t>
  </si>
  <si>
    <t xml:space="preserve">How would you rate the Supplier’s ability to deliver Letter Printing Services?</t>
  </si>
  <si>
    <t xml:space="preserve">How would you rate the Supplier’s ability to deliver Training Material Document Printing?</t>
  </si>
  <si>
    <t xml:space="preserve">How would you rate the Supplier’s ability to deliver DMC Service which includes:</t>
  </si>
  <si>
    <t xml:space="preserve">How would you rate the Supplier’s ability to deliver DMC POS/Claim data and reporting, including the following aspects:</t>
  </si>
  <si>
    <t xml:space="preserve">How would you rate the Supplier ability to do Data maintenance, data security, and access control?</t>
  </si>
  <si>
    <t xml:space="preserve">How would you rate the Supplier’s ability to meet payroll disbursement timelines?</t>
  </si>
  <si>
    <t xml:space="preserve">How would you rate the Supplier’s ability to meet the timelines for report and form submissions, including the following aspects:</t>
  </si>
  <si>
    <t xml:space="preserve">How would you rate the Supplier’s ability to meet the required timelines for payment processing?</t>
  </si>
  <si>
    <t xml:space="preserve">How would you rate the supplier's response speed to you when there are issues?</t>
  </si>
  <si>
    <t xml:space="preserve">Has the vendor’s Reputational Assessment been completed?</t>
  </si>
  <si>
    <t xml:space="preserve">Has the Data Privacy Impact Assessment (DPIA) been completed and approved?</t>
  </si>
  <si>
    <t xml:space="preserve">Has the Data Privacy Service Provider Questionnaire Assessment (DPSQ) been completed and approved?</t>
  </si>
  <si>
    <t xml:space="preserve">Andreas ANDREAS</t>
  </si>
  <si>
    <t xml:space="preserve">Andreas</t>
  </si>
  <si>
    <t xml:space="preserve">Local vendor Sutra is affiliated with SAS Technology which is known as more expensive system compared to other vendors during the Vendor Bidding Process. However, SAS Technology System has been used in few well-known insurance companies in Indonesia, so it is easier to get the review and information; mostly positive.   </t>
  </si>
  <si>
    <t xml:space="preserve">Yulia Kurniati</t>
  </si>
  <si>
    <t xml:space="preserve">More inovation for 2026</t>
  </si>
  <si>
    <t xml:space="preserve">Not required – VSDDT is not applicable for this service</t>
  </si>
  <si>
    <t xml:space="preserve">Improve quality service, specially for leakage, </t>
  </si>
  <si>
    <t xml:space="preserve">Sony NUGROHO</t>
  </si>
  <si>
    <t xml:space="preserve">Sony Nugroho</t>
  </si>
  <si>
    <t xml:space="preserve">Need more improvement regarding initiative to take mitigation/preventive action to prevent the problem from recurring/current issue.</t>
  </si>
  <si>
    <t xml:space="preserve">Enung Haryati</t>
  </si>
  <si>
    <t xml:space="preserve">Always check and recheck the task in internal PIC TMF before send the report to AMFS PIC </t>
  </si>
  <si>
    <t xml:space="preserve">Reza RESDILANA</t>
  </si>
  <si>
    <t xml:space="preserve">Reza Resdilana</t>
  </si>
  <si>
    <t xml:space="preserve">Diharapkan untuk tim project yang diassign apabila CR sudah di signoff agar availibility dari resource ready</t>
  </si>
  <si>
    <t xml:space="preserve">Id</t>
  </si>
  <si>
    <t xml:space="preserve">Waktu mulai</t>
  </si>
  <si>
    <t xml:space="preserve">Waktu selesai</t>
  </si>
  <si>
    <t xml:space="preserve">Nama</t>
  </si>
  <si>
    <t xml:space="preserve">Business User Full Name</t>
  </si>
  <si>
    <t xml:space="preserve">Yes, DPIA completed and there are actions to be done by Project Owner</t>
  </si>
  <si>
    <t xml:space="preserve">DPSQ not completed yet</t>
  </si>
  <si>
    <t xml:space="preserve">Yes, VSDDT completed and there are actions to be done by supplier</t>
  </si>
  <si>
    <t xml:space="preserve">Tetap up to date dan helpful</t>
  </si>
  <si>
    <t xml:space="preserve">No Implementation</t>
  </si>
  <si>
    <t xml:space="preserve">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t>
  </si>
  <si>
    <t xml:space="preserve">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t>
  </si>
  <si>
    <t xml:space="preserve">Fifin Sarinurlita</t>
  </si>
  <si>
    <t xml:space="preserve">Yes, DPSQ completed</t>
  </si>
  <si>
    <t xml:space="preserve">So far, Jatis Vendor has provided good service. Their response time is fast, and they are able to provide effective solutions whenever issues arise</t>
  </si>
  <si>
    <t xml:space="preserve">SAP has shown improvement in terms of reporting and provides a fast response whenever issues arise.</t>
  </si>
  <si>
    <t xml:space="preserve">novia.santi@axa-mandiri.co.id</t>
  </si>
  <si>
    <t xml:space="preserve">Novia Laras Santi</t>
  </si>
  <si>
    <t xml:space="preserve">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t>
  </si>
  <si>
    <t xml:space="preserve">B619GA@login.axa</t>
  </si>
  <si>
    <t xml:space="preserve">Ibnu kumala</t>
  </si>
  <si>
    <t xml:space="preserve">improve inisiatsis</t>
  </si>
  <si>
    <t xml:space="preserve">..</t>
  </si>
  <si>
    <t xml:space="preserve">A591KD@login.axa</t>
  </si>
  <si>
    <t xml:space="preserve">Ciptadra selalu fast response ketika ada incident yang terjadi di DMTM</t>
  </si>
  <si>
    <t xml:space="preserve">B545KY@login.axa</t>
  </si>
  <si>
    <t xml:space="preserve">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t>
  </si>
  <si>
    <t xml:space="preserve">How would you rate the services provided by the supplier?
</t>
  </si>
  <si>
    <t xml:space="preserve">How would you rate the supplier implementation on a Project Management Approach, which includes: 
</t>
  </si>
  <si>
    <t xml:space="preserve">How would you rate the supplier support in providing technical support personnel who will perform several activities such as:
</t>
  </si>
  <si>
    <t xml:space="preserve">How would you rate the supplier support in providing Annual Support such as:
</t>
  </si>
  <si>
    <t xml:space="preserve">How would you rate the services provided by the Supplier which should include:
</t>
  </si>
  <si>
    <t xml:space="preserve">How would you rate the supplier services in make repairs to:
</t>
  </si>
  <si>
    <t xml:space="preserve">How would you rate the supplier's service in providing training materials in accordance with:
</t>
  </si>
  <si>
    <t xml:space="preserve">How would you rate the supplier's response time for service issues?
</t>
  </si>
  <si>
    <t xml:space="preserve">How would you rate the supplier's project management &amp; management report?
</t>
  </si>
  <si>
    <t xml:space="preserve">How would you rate the Implementation of SAS IFRS17solution?
</t>
  </si>
  <si>
    <t xml:space="preserve">How would you rate the PSAK74 Contract Grouping using Data Input and Predefine Rule which generates:
</t>
  </si>
  <si>
    <t xml:space="preserve">How would you rate PSAK74 System implementation on its standard and configurable rule which includes:
</t>
  </si>
  <si>
    <t xml:space="preserve">How would you rate the capability to estimate GMM/PAA/VFA Approach both direct and reinsurance:
</t>
  </si>
  <si>
    <t xml:space="preserve">How would you rate the capability to do the Allocation on Actual Cash Flow (CF):
</t>
  </si>
  <si>
    <t xml:space="preserve">How would you rate the capability to generate PSAK74 Disclosure in monthly base:
</t>
  </si>
  <si>
    <t xml:space="preserve">How would you rate the System Availability, Redundancy, and Overload Protection?
</t>
  </si>
  <si>
    <t xml:space="preserve">How would you rate the Common Security Access?
</t>
  </si>
  <si>
    <t xml:space="preserve">How would you rate the Audit Trail?
</t>
  </si>
  <si>
    <t xml:space="preserve">How would you rate the supplier's service in providing one month warranty support after go-live?
</t>
  </si>
  <si>
    <t xml:space="preserve">How would you rate the supplier's services in conducting three-day user training for SAS IFRS17 solution and conducted one-day system administration training for users?
</t>
  </si>
  <si>
    <t xml:space="preserve">How would you rate the Supplier’s ability to deliver monthly Payroll Services?
</t>
  </si>
  <si>
    <t xml:space="preserve">How would you rate the Supplier’s ability to deliver Cash Management Services, including the following aspects:
</t>
  </si>
  <si>
    <t xml:space="preserve">How would you rate the Supplier’s ability to deliver Compliance Services, including the following aspects:
</t>
  </si>
  <si>
    <t xml:space="preserve">How would you rate the Supplier’s ability to deliver BPJS Kesehatan Services?
</t>
  </si>
  <si>
    <t xml:space="preserve">How would you rate the Supplier’s ability to comply with penalty provisions for payroll processing?
</t>
  </si>
  <si>
    <t xml:space="preserve">How would you rate the Supplier’s ability to execute the Special Project for BPJS Kesehatan?
</t>
  </si>
  <si>
    <t xml:space="preserve">How would you rate the Supplier’s ability to deliver Policy Printing Services SLA?</t>
  </si>
  <si>
    <t xml:space="preserve">Printed policy documents met the agreed material specifications for each policy type?</t>
  </si>
  <si>
    <t xml:space="preserve">How would you rate overall quality of Letter Printing services which includes:
</t>
  </si>
  <si>
    <t xml:space="preserve">How would you rate the overall quality of Training Material Printing service which includes:
</t>
  </si>
  <si>
    <t xml:space="preserve">How would you rate the Data Capture quality control which should be performed at 100% volume (not random/sample check) for all required QC fields
</t>
  </si>
  <si>
    <t xml:space="preserve">How would you rate the Data Capture quality control which should be performed at 100% volume (not random/sample check) for all required QC fields?</t>
  </si>
  <si>
    <t xml:space="preserve">Daily and monthly operational reports were submitted completely, accurately, and on time.</t>
  </si>
  <si>
    <t xml:space="preserve">How would you rate the Data Maintenance, Data Security, and Access Control which includes:</t>
  </si>
  <si>
    <t xml:space="preserve">How would you rate the Recovery Process in the Event of Hardware/Software Failure which includes:</t>
  </si>
  <si>
    <t xml:space="preserve">How would you rate overall Document Management Center service?
</t>
  </si>
  <si>
    <t xml:space="preserve">The ARSI system (Inbound &amp; Outbound) works properly and is ready to use as promised</t>
  </si>
  <si>
    <t xml:space="preserve">The work delivered by KPSG reflects a high level of professionalism and expertise</t>
  </si>
  <si>
    <t xml:space="preserve">The integration with our other systems runs smoothly
</t>
  </si>
  <si>
    <t xml:space="preserve">The features provided work as expected
</t>
  </si>
  <si>
    <t xml:space="preserve">Bugs or errors in the system are rare, and when they occur, they are fixed properly
</t>
  </si>
  <si>
    <t xml:space="preserve">Project documents are complete and clear
</t>
  </si>
  <si>
    <t xml:space="preserve">Regular reports provided by KPSG are accurate and easy to understand
</t>
  </si>
  <si>
    <t xml:space="preserve">KPSG responds well and cooperatively when we raise complaints or request improvements
</t>
  </si>
  <si>
    <t xml:space="preserve">Our data and information are kept secure while using KPSG's system
</t>
  </si>
  <si>
    <t xml:space="preserve">Overall, the quality of KPSG's service meets our expectations
</t>
  </si>
  <si>
    <t xml:space="preserve">The Cloud Data Lakehouse solution functions properly and meets the agreed Acceptance Criteria</t>
  </si>
  <si>
    <t xml:space="preserve">The solution architecture (data ingestion, transformation, semantic layer, reporting, AI/ML integration, data governance) is well-designed and aligned with AXA's target architecture</t>
  </si>
  <si>
    <t xml:space="preserve">Data ingestion, transformation, and modeling (Raw, Refined, Business layers) are accurate and consistent with the agreed data mapping and business rules
</t>
  </si>
  <si>
    <t xml:space="preserve">The reports and dashboards delivered (covering the 12 analytical use cases) meet business needs and are easy to use
</t>
  </si>
  <si>
    <t xml:space="preserve">Data Governance implementation (data quality, data masking, metadata management via Alation) works as expected
</t>
  </si>
  <si>
    <t xml:space="preserve">Security measures (role-based access control, row-level security, data masking, encryption) are properly implemented
</t>
  </si>
  <si>
    <t xml:space="preserve">Testing results (Unit Testing, SIT, Performance Testing, UAT support) show minimal defects, and issues found are properly fixed
</t>
  </si>
  <si>
    <t xml:space="preserve">During the warranty period, the system runs stably without major incidents or performance degradation
</t>
  </si>
  <si>
    <t xml:space="preserve">Knowledge transfer and training provided to the AXA team are clear and useful for day-to-day operations
</t>
  </si>
  <si>
    <t xml:space="preserve">Overall, the quality of Deloitte's work on the Cloud Data Lakehouse project meets our expectations
</t>
  </si>
  <si>
    <t xml:space="preserve">The delivered solution met all agreed functional requirements</t>
  </si>
  <si>
    <t xml:space="preserve">The system passed User Acceptance Testing (UAT) with minimal critical issues or rework needed</t>
  </si>
  <si>
    <t xml:space="preserve">Call recordings were accessible and properly linked within the agreed retention period
</t>
  </si>
  <si>
    <t xml:space="preserve">Reports and dashboards were accurate and matched AXA’s required format
</t>
  </si>
  <si>
    <t xml:space="preserve">Defects or bugs found during the warranty period were minimal and resolved promptly at no extra cost
</t>
  </si>
  <si>
    <t xml:space="preserve">Project documentation was complete, accurate, and submitted on time
</t>
  </si>
  <si>
    <t xml:space="preserve">Training provided was clear and sufficient for AXA’s team to operate independently
</t>
  </si>
  <si>
    <t xml:space="preserve">Overall, the quality of supplier work on the purecloud decommisioning project meets our expectations
</t>
  </si>
  <si>
    <t xml:space="preserve">How would you rate the assessment tools &amp; results (Group Report &amp; Individual Report) for Talent Acquisition/Talent Management needs</t>
  </si>
  <si>
    <t xml:space="preserve">Assessment tools (Psychometric Test, Verbal/Numerical/Abstract Reasoning, Personality Questionnaire, Competency Based Interview, etc.) are relevant and appropriate to participants’ level/grade</t>
  </si>
  <si>
    <t xml:space="preserve">Assessment sessions (online and offline) are conducted in an orderly, professional manner and according to the agreed schedule
</t>
  </si>
  <si>
    <t xml:space="preserve">SHL maintains the confidentiality and security of assessment participants’ Personal Data in accordance with the privacy provisions in the Agreement
</t>
  </si>
  <si>
    <t xml:space="preserve">There are no administrative errors (participant data, grade, test type) throughout the process from Booking Form submission to report delivery
</t>
  </si>
  <si>
    <t xml:space="preserve">SHL proactively coordinates when there is a potential dispute or issue before it impacts participants/AXA
</t>
  </si>
  <si>
    <t xml:space="preserve">Overall, the quality of supplier work on the talent assesment project meets our expectations
</t>
  </si>
  <si>
    <t xml:space="preserve">Policy printing was completed within the agreed H0 → H1 → H3 delivery timeline</t>
  </si>
  <si>
    <t xml:space="preserve">Letter printing (Cetak Surat) was completed within H+2 from AMFS approval of the print data file.</t>
  </si>
  <si>
    <t xml:space="preserve">Training material printing (Cetak Dokumen Materi Training) was completed within all three agreed SLA phases</t>
  </si>
  <si>
    <t xml:space="preserve">New Business data was uploaded to RLS within the agreed daily cut-off schedule</t>
  </si>
  <si>
    <t xml:space="preserve">POS and Claim documents were scanned, indexed, and uploaded on the same day within the agreed scanning SLA window</t>
  </si>
  <si>
    <t xml:space="preserve">Physical document retrieval requests from AMFS were fulfilled within 2 working days</t>
  </si>
  <si>
    <t xml:space="preserve">The supplier consistently met late delivery penalty thresholds and did not trigger the escalated penalty clause for policy printing</t>
  </si>
  <si>
    <t xml:space="preserve">The supplier proactively communicated whenever daily SLA targets or processing volumes were at risk of not being met.</t>
  </si>
  <si>
    <t xml:space="preserve">How would you rate the Supplier’s ability to meet payroll disbursement timelines?
</t>
  </si>
  <si>
    <t xml:space="preserve">How would you rate the Supplier’s ability to meet the timelines for report and form submissions, including the following aspects:
</t>
  </si>
  <si>
    <t xml:space="preserve">How would you rate the Supplier’s ability to meet the required timelines for payment processing?
</t>
  </si>
  <si>
    <t xml:space="preserve">KPSG's support team is available during agreed service hours (Mon–Fri, 09:00–18:00), with on-call support outside these hours when needed
</t>
  </si>
  <si>
    <t xml:space="preserve">The system is available at least 99% of the time, with minimal downtime
</t>
  </si>
  <si>
    <t xml:space="preserve">KPSG responds to our service requests within 1 hour during normal working hours
</t>
  </si>
  <si>
    <t xml:space="preserve">Issues are resolved within the agreed timeframe based on impact level
</t>
  </si>
  <si>
    <t xml:space="preserve">How would you rate the Data Back Up processing
</t>
  </si>
  <si>
    <t xml:space="preserve">Project milestones are completed on the agreed dates
</t>
  </si>
  <si>
    <t xml:space="preserve">KPSG gives us early warning if there's a risk of delay in any deliverable
</t>
  </si>
  <si>
    <t xml:space="preserve">Monthly and weekly reports are submitted on time 
</t>
  </si>
  <si>
    <t xml:space="preserve">Any cybersecurity incidents are reported to us within 4 hours of detection
</t>
  </si>
  <si>
    <t xml:space="preserve">Requests for system changes are followed up and completed within the agreed timeline
</t>
  </si>
  <si>
    <t xml:space="preserve">Project milestones are completed on schedule within the agreed 6-month Phase 1 timeline
</t>
  </si>
  <si>
    <t xml:space="preserve">Data discovery and assessment activities are completed within the agreed 1,5-month period
</t>
  </si>
  <si>
    <t xml:space="preserve">Deloitte gives early notice and a mitigation plan if there's a risk of delay to any milestone
</t>
  </si>
  <si>
    <t xml:space="preserve">Incidents are responded to within 10 minutes, regardless of severity level
</t>
  </si>
  <si>
    <t xml:space="preserve">Critical (Severity 1) incidents are resolved within the committed 4-hour timeframe
</t>
  </si>
  <si>
    <t xml:space="preserve">High-severity (Severity 2) incidents are resolved within the committed 8-hour timeframe
</t>
  </si>
  <si>
    <t xml:space="preserve">Change Requests are followed up with a clear impact assessment and completed within the agreed timeline
</t>
  </si>
  <si>
    <t xml:space="preserve">Monthly SLA and performance reports are submitted on time
</t>
  </si>
  <si>
    <t xml:space="preserve">Incident reports (for Severity 1 issues) are submitted within 5 working days after resolution
</t>
  </si>
  <si>
    <t xml:space="preserve">Overall, Deloitte is consistent in meeting all the time commitments agreed for this project
</t>
  </si>
  <si>
    <t xml:space="preserve">The Planning &amp; Architecture phase was completed on schedule
</t>
  </si>
  <si>
    <t xml:space="preserve">The Build/Construction phase was completed on schedule
</t>
  </si>
  <si>
    <t xml:space="preserve">The Validation/UAT phase was completed on schedule
</t>
  </si>
  <si>
    <t xml:space="preserve">The Deployment &amp; Go-Live phase was completed on schedule
</t>
  </si>
  <si>
    <t xml:space="preserve">The supplier responded to reported issues within the agreed response time
</t>
  </si>
  <si>
    <t xml:space="preserve">The supplier resolved reported issues within the agreed resolution time
</t>
  </si>
  <si>
    <t xml:space="preserve">The project was completed without delays requiring AXA to invoke late penalties
</t>
  </si>
  <si>
    <t xml:space="preserve">The supplier proactively communicated whenever a milestone was at risk of delay
</t>
  </si>
  <si>
    <t xml:space="preserve">Booking Forms for Talent Acquisition assessments are processed on the same Business Day if received before 16.30 WIB
</t>
  </si>
  <si>
    <t xml:space="preserve">Booking Forms for Talent Management assessments are responded to on the same Business Day for further scheduling
</t>
  </si>
  <si>
    <t xml:space="preserve">Individual Reports for Talent Acquisition assessments are delivered within H+1 Business Day after the assessment is completed
</t>
  </si>
  <si>
    <t xml:space="preserve">Recap Reports for Talent Acquisition assessments are delivered within H+3 Business Days after the assessment is completed
</t>
  </si>
  <si>
    <t xml:space="preserve">Recap Reports for Talent Management assessments are delivered within H+5 Business Days after the assessment is completed
</t>
  </si>
  <si>
    <t xml:space="preserve">Individual Reports for Talent Management assessments are delivered within H+10 Business Days after the assessment is completed
</t>
  </si>
  <si>
    <t xml:space="preserve">SHL's helpdesk operates and is reachable within the committed service hours (Monday–Friday, 08.00–17.00 WIB).
</t>
  </si>
  <si>
    <t xml:space="preserve">Overall, SHL is consistent in meeting all the time commitments agreed under this Agreement
</t>
  </si>
  <si>
    <t xml:space="preserve">Based on the the results (Financial, Reputational, DPIA, VSDDT, DPSQ), do you have an action plan in place? If yes, has it been completed, and have you coordinated with the relevant SMEs?</t>
  </si>
  <si>
    <t xml:space="preserve">B408EN@login.axa</t>
  </si>
  <si>
    <t xml:space="preserve">Noviani Marbun</t>
  </si>
  <si>
    <t xml:space="preserve">Karyaputra Suryagemilang - Purecloud Decommisioning</t>
  </si>
  <si>
    <t xml:space="preserve">Yes, DPSQ not completed yet</t>
  </si>
  <si>
    <t xml:space="preserve">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t>
  </si>
  <si>
    <t xml:space="preserve">Mitra Integrasi Informatika - Purecloud Decommisioning</t>
  </si>
  <si>
    <t xml:space="preserve">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t>
  </si>
  <si>
    <t xml:space="preserve">1. For AI Implementation, KPSG need to improve the delivery time, quality and PIC availability and backup PIC support
2. Another enhancement need to speed up with dedicated team </t>
  </si>
  <si>
    <t xml:space="preserve">igusti.setyawardhanie@axa-mandiri.co.id</t>
  </si>
  <si>
    <t xml:space="preserve">I Gusti Ayu Mira Setyawardhanie</t>
  </si>
  <si>
    <t xml:space="preserve">ESHAEL Indonesia - Talent Assesment</t>
  </si>
  <si>
    <t xml:space="preserve">ravika.oktaviani@axa-mandiri.co.id</t>
  </si>
  <si>
    <t xml:space="preserve">Ravika Oktaviani</t>
  </si>
  <si>
    <t xml:space="preserve">Wiz Technology - Voice Bot Reminder Call</t>
  </si>
  <si>
    <t xml:space="preserve">To ensure a smooth process, we need to move faster and maintain effective communication</t>
  </si>
  <si>
    <t xml:space="preserve">Need to make improvement for their technology updated to  support our requirements</t>
  </si>
  <si>
    <t xml:space="preserve">Improvements to their latest Technology to support process at AXA </t>
  </si>
  <si>
    <t xml:space="preserve">tatang.sutiaman@axa-mandiri.co.id</t>
  </si>
  <si>
    <t xml:space="preserve">Tatang Sutiaman</t>
  </si>
  <si>
    <t xml:space="preserve">no feedback</t>
  </si>
  <si>
    <t xml:space="preserve">B276QG@login.axa</t>
  </si>
  <si>
    <t xml:space="preserve">M Andrian Patria SR</t>
  </si>
  <si>
    <t xml:space="preserve">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t>
  </si>
</sst>
</file>

<file path=xl/styles.xml><?xml version="1.0" encoding="utf-8"?>
<styleSheet xmlns="http://schemas.openxmlformats.org/spreadsheetml/2006/main">
  <numFmts count="6">
    <numFmt numFmtId="164" formatCode="General"/>
    <numFmt numFmtId="165" formatCode="0.00"/>
    <numFmt numFmtId="166" formatCode="0.0"/>
    <numFmt numFmtId="167" formatCode="0%"/>
    <numFmt numFmtId="168" formatCode="General"/>
    <numFmt numFmtId="169" formatCode="yyyy\-mm\-dd\ h:mm:ss"/>
  </numFmts>
  <fonts count="34">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sz val="10"/>
      <name val="Arial"/>
      <family val="0"/>
      <charset val="1"/>
    </font>
    <font>
      <b val="true"/>
      <sz val="12"/>
      <color rgb="FF1F3864"/>
      <name val="Arial"/>
      <family val="0"/>
      <charset val="1"/>
    </font>
    <font>
      <b val="true"/>
      <sz val="10"/>
      <name val="Arial"/>
      <family val="0"/>
      <charset val="1"/>
    </font>
    <font>
      <b val="true"/>
      <sz val="10"/>
      <color rgb="FFC00000"/>
      <name val="Arial"/>
      <family val="0"/>
      <charset val="1"/>
    </font>
    <font>
      <b val="true"/>
      <sz val="11"/>
      <name val="Arial"/>
      <family val="0"/>
      <charset val="1"/>
    </font>
    <font>
      <i val="true"/>
      <sz val="8"/>
      <color rgb="FFA6A6A6"/>
      <name val="Cambria"/>
      <family val="0"/>
      <charset val="1"/>
    </font>
    <font>
      <i val="true"/>
      <sz val="8"/>
      <color rgb="FF808080"/>
      <name val="Arial"/>
      <family val="0"/>
      <charset val="1"/>
    </font>
    <font>
      <b val="true"/>
      <sz val="10"/>
      <color rgb="FFFFFFFF"/>
      <name val="Arial"/>
      <family val="0"/>
      <charset val="1"/>
    </font>
    <font>
      <b val="true"/>
      <sz val="14"/>
      <color rgb="FF1F3864"/>
      <name val="Arial"/>
      <family val="0"/>
      <charset val="1"/>
    </font>
    <font>
      <b val="true"/>
      <sz val="11"/>
      <color rgb="FF1F3864"/>
      <name val="Arial"/>
      <family val="0"/>
      <charset val="1"/>
    </font>
    <font>
      <sz val="8"/>
      <color rgb="FFA6A6A6"/>
      <name val="Cambria"/>
      <family val="0"/>
      <charset val="1"/>
    </font>
    <font>
      <sz val="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1F3864"/>
      <name val="Arial"/>
      <family val="0"/>
      <charset val="1"/>
    </font>
    <font>
      <i val="true"/>
      <sz val="10"/>
      <name val="Arial"/>
      <family val="0"/>
      <charset val="1"/>
    </font>
    <font>
      <b val="true"/>
      <sz val="11"/>
      <color rgb="FFFFFFFF"/>
      <name val="Arial"/>
      <family val="0"/>
      <charset val="1"/>
    </font>
    <font>
      <sz val="11"/>
      <name val="Arial"/>
      <family val="0"/>
      <charset val="1"/>
    </font>
    <font>
      <i val="true"/>
      <sz val="11"/>
      <color rgb="FF808080"/>
      <name val="Arial"/>
      <family val="0"/>
      <charset val="1"/>
    </font>
    <font>
      <b val="true"/>
      <sz val="11"/>
      <color rgb="FFC00000"/>
      <name val="Arial"/>
      <family val="0"/>
      <charset val="1"/>
    </font>
    <font>
      <i val="true"/>
      <sz val="11"/>
      <color rgb="FFC00000"/>
      <name val="Arial"/>
      <family val="0"/>
      <charset val="1"/>
    </font>
    <font>
      <b val="true"/>
      <sz val="14"/>
      <name val="Arial"/>
      <family val="0"/>
      <charset val="1"/>
    </font>
    <font>
      <sz val="11"/>
      <color rgb="FF000000"/>
      <name val="Arial"/>
      <family val="0"/>
      <charset val="1"/>
    </font>
    <font>
      <sz val="11"/>
      <color rgb="FF0000FF"/>
      <name val="Arial"/>
      <family val="0"/>
      <charset val="1"/>
    </font>
    <font>
      <b val="true"/>
      <i val="true"/>
      <sz val="9"/>
      <name val="Arial"/>
      <family val="0"/>
      <charset val="1"/>
    </font>
    <font>
      <i val="true"/>
      <sz val="9"/>
      <color rgb="FF808080"/>
      <name val="Arial"/>
      <family val="0"/>
      <charset val="1"/>
    </font>
    <font>
      <b val="true"/>
      <sz val="9"/>
      <name val="Arial"/>
      <family val="0"/>
      <charset val="1"/>
    </font>
  </fonts>
  <fills count="10">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F2F2F2"/>
        <bgColor rgb="FFFAFAFA"/>
      </patternFill>
    </fill>
    <fill>
      <patternFill patternType="solid">
        <fgColor rgb="FF2E75B6"/>
        <bgColor rgb="FF0066CC"/>
      </patternFill>
    </fill>
    <fill>
      <patternFill patternType="solid">
        <fgColor rgb="FFFAFAFA"/>
        <bgColor rgb="FFFFFFFF"/>
      </patternFill>
    </fill>
    <fill>
      <patternFill patternType="solid">
        <fgColor rgb="FFDDEBF7"/>
        <bgColor rgb="FFE2EFDA"/>
      </patternFill>
    </fill>
    <fill>
      <patternFill patternType="solid">
        <fgColor rgb="FFFFF2CC"/>
        <bgColor rgb="FFF2F2F2"/>
      </patternFill>
    </fill>
    <fill>
      <patternFill patternType="solid">
        <fgColor rgb="FFE2EFDA"/>
        <bgColor rgb="FFDDEBF7"/>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center" vertical="bottom"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5" fontId="14" fillId="4"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6" borderId="0"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true" applyAlignment="true" applyProtection="false">
      <alignment horizontal="general" vertical="top" textRotation="0" wrapText="true" indent="0" shrinkToFit="false"/>
      <protection locked="true" hidden="false"/>
    </xf>
    <xf numFmtId="164" fontId="0" fillId="6" borderId="0" xfId="0" applyFont="false" applyBorder="true" applyAlignment="true" applyProtection="false">
      <alignment horizontal="general" vertical="top" textRotation="0" wrapText="tru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center" vertical="bottom" textRotation="0" wrapText="true" indent="0" shrinkToFit="false"/>
      <protection locked="true" hidden="false"/>
    </xf>
    <xf numFmtId="164" fontId="17" fillId="0" borderId="1" xfId="0" applyFont="true" applyBorder="true" applyAlignment="true" applyProtection="false">
      <alignment horizontal="center" vertical="bottom"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5" fontId="17" fillId="0" borderId="1" xfId="0" applyFont="true" applyBorder="true" applyAlignment="true" applyProtection="false">
      <alignment horizontal="center" vertical="bottom" textRotation="0" wrapText="tru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true" indent="0" shrinkToFit="false"/>
      <protection locked="true" hidden="false"/>
    </xf>
    <xf numFmtId="165" fontId="6" fillId="0" borderId="2" xfId="0" applyFont="true" applyBorder="true" applyAlignment="true" applyProtection="false">
      <alignment horizontal="center" vertical="center" textRotation="0" wrapText="false" indent="0" shrinkToFit="false"/>
      <protection locked="true" hidden="false"/>
    </xf>
    <xf numFmtId="164" fontId="22" fillId="0" borderId="2" xfId="0" applyFont="true" applyBorder="true" applyAlignment="true" applyProtection="false">
      <alignment horizontal="center" vertical="center" textRotation="0" wrapText="false" indent="0" shrinkToFit="false"/>
      <protection locked="true" hidden="false"/>
    </xf>
    <xf numFmtId="164" fontId="22" fillId="0" borderId="2" xfId="0" applyFont="true" applyBorder="true" applyAlignment="true" applyProtection="false">
      <alignment horizontal="general" vertical="center" textRotation="0" wrapText="true" indent="0" shrinkToFit="false"/>
      <protection locked="true" hidden="false"/>
    </xf>
    <xf numFmtId="165" fontId="22" fillId="0" borderId="2" xfId="0" applyFont="true" applyBorder="true" applyAlignment="true" applyProtection="false">
      <alignment horizontal="center" vertical="center" textRotation="0" wrapText="false" indent="0" shrinkToFit="false"/>
      <protection locked="true" hidden="false"/>
    </xf>
    <xf numFmtId="164" fontId="23" fillId="3"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4" fontId="25"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23" fillId="3" borderId="0" xfId="0" applyFont="true" applyBorder="false" applyAlignment="true" applyProtection="false">
      <alignment horizontal="center" vertical="center" textRotation="0" wrapText="false" indent="0" shrinkToFit="false"/>
      <protection locked="true" hidden="false"/>
    </xf>
    <xf numFmtId="164" fontId="23" fillId="3" borderId="0" xfId="0" applyFont="true" applyBorder="false" applyAlignment="true" applyProtection="false">
      <alignment horizontal="general" vertical="center" textRotation="0" wrapText="true" indent="0" shrinkToFit="false"/>
      <protection locked="true" hidden="false"/>
    </xf>
    <xf numFmtId="164" fontId="24" fillId="7" borderId="1" xfId="0" applyFont="true" applyBorder="true" applyAlignment="false" applyProtection="false">
      <alignment horizontal="general" vertical="bottom" textRotation="0" wrapText="false" indent="0" shrinkToFit="false"/>
      <protection locked="true" hidden="false"/>
    </xf>
    <xf numFmtId="164" fontId="24" fillId="7" borderId="1" xfId="0" applyFont="true" applyBorder="true" applyAlignment="true" applyProtection="false">
      <alignment horizontal="general" vertical="center" textRotation="0" wrapText="true" indent="0" shrinkToFit="false"/>
      <protection locked="true" hidden="false"/>
    </xf>
    <xf numFmtId="166" fontId="24" fillId="7" borderId="1" xfId="0" applyFont="true" applyBorder="true" applyAlignment="true" applyProtection="false">
      <alignment horizontal="center" vertical="center" textRotation="0" wrapText="false" indent="0" shrinkToFit="false"/>
      <protection locked="true" hidden="false"/>
    </xf>
    <xf numFmtId="164" fontId="24" fillId="8" borderId="1" xfId="0" applyFont="true" applyBorder="true" applyAlignment="false" applyProtection="false">
      <alignment horizontal="general" vertical="bottom" textRotation="0" wrapText="false" indent="0" shrinkToFit="false"/>
      <protection locked="true" hidden="false"/>
    </xf>
    <xf numFmtId="164" fontId="24" fillId="8" borderId="1" xfId="0" applyFont="true" applyBorder="true" applyAlignment="true" applyProtection="false">
      <alignment horizontal="general" vertical="center" textRotation="0" wrapText="true" indent="0" shrinkToFit="false"/>
      <protection locked="true" hidden="false"/>
    </xf>
    <xf numFmtId="166" fontId="24" fillId="8" borderId="1" xfId="0" applyFont="true" applyBorder="true" applyAlignment="true" applyProtection="false">
      <alignment horizontal="center" vertical="center" textRotation="0" wrapText="false" indent="0" shrinkToFit="false"/>
      <protection locked="true" hidden="false"/>
    </xf>
    <xf numFmtId="164" fontId="24" fillId="9" borderId="1" xfId="0" applyFont="true" applyBorder="true" applyAlignment="false" applyProtection="false">
      <alignment horizontal="general" vertical="bottom" textRotation="0" wrapText="false" indent="0" shrinkToFit="false"/>
      <protection locked="true" hidden="false"/>
    </xf>
    <xf numFmtId="164" fontId="24" fillId="9" borderId="1" xfId="0" applyFont="true" applyBorder="true" applyAlignment="true" applyProtection="false">
      <alignment horizontal="general" vertical="center" textRotation="0" wrapText="true" indent="0" shrinkToFit="false"/>
      <protection locked="true" hidden="false"/>
    </xf>
    <xf numFmtId="166" fontId="24" fillId="9" borderId="1"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64" fontId="24" fillId="0" borderId="3" xfId="0" applyFont="true" applyBorder="true" applyAlignment="true" applyProtection="false">
      <alignment horizontal="general" vertical="bottom" textRotation="0" wrapText="false" indent="0" shrinkToFit="false"/>
      <protection locked="true" hidden="false"/>
    </xf>
    <xf numFmtId="164" fontId="24" fillId="2" borderId="3" xfId="0" applyFont="true" applyBorder="true" applyAlignment="true" applyProtection="false">
      <alignment horizontal="general" vertical="bottom" textRotation="0" wrapText="false" indent="0" shrinkToFit="false"/>
      <protection locked="true" hidden="false"/>
    </xf>
    <xf numFmtId="167" fontId="24" fillId="0" borderId="3" xfId="0" applyFont="true" applyBorder="true" applyAlignment="true" applyProtection="false">
      <alignment horizontal="general" vertical="bottom" textRotation="0" wrapText="false" indent="0" shrinkToFit="false"/>
      <protection locked="true" hidden="false"/>
    </xf>
    <xf numFmtId="164" fontId="24" fillId="0" borderId="3" xfId="0" applyFont="true" applyBorder="true" applyAlignment="true" applyProtection="false">
      <alignment horizontal="general" vertical="bottom"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general" vertical="bottom" textRotation="0" wrapText="false" indent="0" shrinkToFit="false"/>
      <protection locked="true" hidden="false"/>
    </xf>
    <xf numFmtId="165" fontId="24"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5" fontId="29"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9" fontId="17"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8696B"/>
        </patternFill>
      </fill>
    </dxf>
    <dxf>
      <fill>
        <patternFill>
          <bgColor rgb="FFC00000"/>
        </patternFill>
      </fill>
    </dxf>
    <dxf>
      <fill>
        <patternFill>
          <bgColor rgb="FFFFEB84"/>
        </patternFill>
      </fill>
    </dxf>
    <dxf>
      <fill>
        <patternFill>
          <bgColor rgb="FFA9D18E"/>
        </patternFill>
      </fill>
    </dxf>
    <dxf>
      <fill>
        <patternFill>
          <bgColor rgb="FF63BE7B"/>
        </patternFill>
      </fill>
    </dxf>
    <dxf>
      <fill>
        <patternFill>
          <bgColor rgb="FFD9D9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DDEBF7"/>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EB84"/>
      <rgbColor rgb="FFB7B7B7"/>
      <rgbColor rgb="FFFAFAFA"/>
      <rgbColor rgb="FFB3B3B3"/>
      <rgbColor rgb="FFA9D18E"/>
      <rgbColor rgb="FF2E75B6"/>
      <rgbColor rgb="FF63BE7B"/>
      <rgbColor rgb="FF99CC00"/>
      <rgbColor rgb="FFFFC0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Tren Skor Vendor Terpilih</a:t>
            </a:r>
          </a:p>
        </c:rich>
      </c:tx>
      <c:overlay val="0"/>
      <c:spPr>
        <a:noFill/>
        <a:ln w="0">
          <a:noFill/>
        </a:ln>
      </c:spPr>
    </c:title>
    <c:autoTitleDeleted val="0"/>
    <c:plotArea>
      <c:lineChart>
        <c:grouping val="standard"/>
        <c:varyColors val="0"/>
        <c:ser>
          <c:idx val="0"/>
          <c:order val="0"/>
          <c:spPr>
            <a:solidFill>
              <a:srgbClr val="ffffff"/>
            </a:solidFill>
            <a:ln w="0">
              <a:solidFill>
                <a:srgbClr val="ffffff"/>
              </a:solidFill>
            </a:ln>
          </c:spPr>
          <c:marker>
            <c:symbol val="circle"/>
            <c:size val="6"/>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DASHBOARD!$A$20:$A$29</c:f>
              <c:strCache>
                <c:ptCount val="10"/>
                <c:pt idx="0">
                  <c:v>2024 Q1</c:v>
                </c:pt>
                <c:pt idx="1">
                  <c:v>2024 Q2</c:v>
                </c:pt>
                <c:pt idx="2">
                  <c:v>2024 Q3</c:v>
                </c:pt>
                <c:pt idx="3">
                  <c:v>2024 Q4</c:v>
                </c:pt>
                <c:pt idx="4">
                  <c:v>2025 Q1</c:v>
                </c:pt>
                <c:pt idx="5">
                  <c:v>2025 Q2</c:v>
                </c:pt>
                <c:pt idx="6">
                  <c:v>2025 Q3</c:v>
                </c:pt>
                <c:pt idx="7">
                  <c:v>2025 Q4</c:v>
                </c:pt>
                <c:pt idx="8">
                  <c:v>REMARKS / FEEDBACK</c:v>
                </c:pt>
                <c:pt idx="9">
                  <c:v>Q1 2026:</c:v>
                </c:pt>
              </c:strCache>
            </c:strRef>
          </c:cat>
          <c:val>
            <c:numRef>
              <c:f>DASHBOARD!$B$20:$B$29</c:f>
              <c:numCache>
                <c:formatCode>General</c:formatCode>
                <c:ptCount val="10"/>
              </c:numCache>
            </c:numRef>
          </c:val>
          <c:smooth val="0"/>
        </c:ser>
        <c:hiLowLines>
          <c:spPr>
            <a:ln w="0">
              <a:noFill/>
            </a:ln>
          </c:spPr>
        </c:hiLowLines>
        <c:marker val="1"/>
        <c:axId val="83859691"/>
        <c:axId val="91458191"/>
      </c:lineChart>
      <c:catAx>
        <c:axId val="8385969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Periode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1458191"/>
        <c:crosses val="autoZero"/>
        <c:auto val="1"/>
        <c:lblAlgn val="ctr"/>
        <c:lblOffset val="100"/>
        <c:noMultiLvlLbl val="0"/>
      </c:catAx>
      <c:valAx>
        <c:axId val="91458191"/>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Skor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385969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8</xdr:row>
      <xdr:rowOff>131040</xdr:rowOff>
    </xdr:from>
    <xdr:to>
      <xdr:col>6</xdr:col>
      <xdr:colOff>120600</xdr:colOff>
      <xdr:row>21</xdr:row>
      <xdr:rowOff>173880</xdr:rowOff>
    </xdr:to>
    <xdr:graphicFrame>
      <xdr:nvGraphicFramePr>
        <xdr:cNvPr id="0" name="Chart 1"/>
        <xdr:cNvGraphicFramePr/>
      </xdr:nvGraphicFramePr>
      <xdr:xfrm>
        <a:off x="2960280" y="209556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9.5" hidden="false" customHeight="true" outlineLevel="0" collapsed="false">
      <c r="A1" s="2" t="s">
        <v>0</v>
      </c>
    </row>
    <row r="2" customFormat="false" ht="15" hidden="false" customHeight="true" outlineLevel="0" collapsed="false">
      <c r="A2" s="3" t="s">
        <v>1</v>
      </c>
    </row>
    <row r="3" customFormat="false" ht="27.75" hidden="false" customHeight="true" outlineLevel="0" collapsed="false">
      <c r="A3" s="4"/>
    </row>
    <row r="4" customFormat="false" ht="27.75" hidden="false" customHeight="true" outlineLevel="0" collapsed="false">
      <c r="A4" s="5" t="s">
        <v>2</v>
      </c>
    </row>
    <row r="5" customFormat="false" ht="27.75" hidden="false" customHeight="true" outlineLevel="0" collapsed="false">
      <c r="A5" s="4" t="s">
        <v>3</v>
      </c>
    </row>
    <row r="6" customFormat="false" ht="27.75" hidden="false" customHeight="true" outlineLevel="0" collapsed="false">
      <c r="A6" s="4" t="s">
        <v>4</v>
      </c>
    </row>
    <row r="7" customFormat="false" ht="27.75" hidden="false" customHeight="true" outlineLevel="0" collapsed="false">
      <c r="A7" s="4" t="s">
        <v>5</v>
      </c>
    </row>
    <row r="8" customFormat="false" ht="27.75" hidden="false" customHeight="true" outlineLevel="0" collapsed="false">
      <c r="A8" s="4" t="s">
        <v>6</v>
      </c>
    </row>
    <row r="9" customFormat="false" ht="27.75" hidden="false" customHeight="true" outlineLevel="0" collapsed="false">
      <c r="A9" s="4" t="s">
        <v>7</v>
      </c>
    </row>
    <row r="10" customFormat="false" ht="27.75" hidden="false" customHeight="true" outlineLevel="0" collapsed="false">
      <c r="A10" s="4" t="s">
        <v>8</v>
      </c>
    </row>
    <row r="11" customFormat="false" ht="27.75" hidden="false" customHeight="true" outlineLevel="0" collapsed="false">
      <c r="A11" s="4"/>
    </row>
    <row r="12" customFormat="false" ht="27.75" hidden="false" customHeight="true" outlineLevel="0" collapsed="false">
      <c r="A12" s="5" t="s">
        <v>9</v>
      </c>
    </row>
    <row r="13" customFormat="false" ht="27.75" hidden="false" customHeight="true" outlineLevel="0" collapsed="false">
      <c r="A13" s="6" t="s">
        <v>10</v>
      </c>
    </row>
    <row r="14" customFormat="false" ht="27.75" hidden="false" customHeight="true" outlineLevel="0" collapsed="false">
      <c r="A14" s="4" t="s">
        <v>11</v>
      </c>
    </row>
    <row r="15" customFormat="false" ht="27.75" hidden="false" customHeight="true" outlineLevel="0" collapsed="false">
      <c r="A15" s="4" t="s">
        <v>12</v>
      </c>
    </row>
    <row r="16" customFormat="false" ht="27.75" hidden="false" customHeight="true" outlineLevel="0" collapsed="false">
      <c r="A16" s="4" t="s">
        <v>13</v>
      </c>
    </row>
    <row r="17" customFormat="false" ht="27.75" hidden="false" customHeight="true" outlineLevel="0" collapsed="false">
      <c r="A17" s="4"/>
    </row>
    <row r="18" customFormat="false" ht="27.75" hidden="false" customHeight="true" outlineLevel="0" collapsed="false">
      <c r="A18" s="5" t="s">
        <v>14</v>
      </c>
    </row>
    <row r="19" customFormat="false" ht="27.75" hidden="false" customHeight="true" outlineLevel="0" collapsed="false">
      <c r="A19" s="4" t="s">
        <v>15</v>
      </c>
    </row>
    <row r="20" customFormat="false" ht="27.75" hidden="false" customHeight="true" outlineLevel="0" collapsed="false">
      <c r="A20" s="4" t="s">
        <v>16</v>
      </c>
    </row>
    <row r="21" customFormat="false" ht="27.75" hidden="false" customHeight="true" outlineLevel="0" collapsed="false">
      <c r="A21" s="4" t="s">
        <v>17</v>
      </c>
    </row>
    <row r="22" customFormat="false" ht="27.75" hidden="false" customHeight="true" outlineLevel="0" collapsed="false">
      <c r="A22" s="4" t="s">
        <v>18</v>
      </c>
    </row>
    <row r="23" customFormat="false" ht="27.75" hidden="false" customHeight="true" outlineLevel="0" collapsed="false">
      <c r="A23" s="4" t="s">
        <v>19</v>
      </c>
    </row>
    <row r="24" customFormat="false" ht="27.75" hidden="false" customHeight="true" outlineLevel="0" collapsed="false">
      <c r="A24" s="4"/>
    </row>
    <row r="25" customFormat="false" ht="27.75" hidden="false" customHeight="true" outlineLevel="0" collapsed="false">
      <c r="A25" s="5" t="s">
        <v>20</v>
      </c>
    </row>
    <row r="26" customFormat="false" ht="27.75" hidden="false" customHeight="true" outlineLevel="0" collapsed="false">
      <c r="A26" s="4" t="s">
        <v>21</v>
      </c>
    </row>
    <row r="27" customFormat="false" ht="27.75" hidden="false" customHeight="true" outlineLevel="0" collapsed="false">
      <c r="A27" s="4" t="s">
        <v>22</v>
      </c>
    </row>
    <row r="28" customFormat="false" ht="27.75" hidden="false" customHeight="true" outlineLevel="0" collapsed="false">
      <c r="A28" s="4" t="s">
        <v>23</v>
      </c>
    </row>
    <row r="29" customFormat="false" ht="27.75" hidden="false" customHeight="true" outlineLevel="0" collapsed="false">
      <c r="A29" s="4" t="s">
        <v>24</v>
      </c>
    </row>
    <row r="30" customFormat="false" ht="27.75" hidden="false" customHeight="true" outlineLevel="0" collapsed="false">
      <c r="A30" s="4" t="s">
        <v>25</v>
      </c>
    </row>
    <row r="31" customFormat="false" ht="27.75" hidden="false" customHeight="true" outlineLevel="0" collapsed="false">
      <c r="A31" s="4" t="s">
        <v>26</v>
      </c>
    </row>
    <row r="32" customFormat="false" ht="27.75" hidden="false" customHeight="true" outlineLevel="0" collapsed="false">
      <c r="A32" s="4" t="s">
        <v>27</v>
      </c>
    </row>
    <row r="33" customFormat="false" ht="27.75" hidden="false" customHeight="true" outlineLevel="0" collapsed="false">
      <c r="A33" s="4"/>
    </row>
    <row r="34" customFormat="false" ht="27.75" hidden="false" customHeight="true" outlineLevel="0" collapsed="false">
      <c r="A34" s="5" t="s">
        <v>28</v>
      </c>
    </row>
    <row r="35" customFormat="false" ht="27.75" hidden="false" customHeight="true" outlineLevel="0" collapsed="false">
      <c r="A35" s="4" t="s">
        <v>29</v>
      </c>
    </row>
    <row r="36" customFormat="false" ht="27.75" hidden="false" customHeight="true" outlineLevel="0" collapsed="false">
      <c r="A36" s="4" t="s">
        <v>30</v>
      </c>
    </row>
    <row r="37" customFormat="false" ht="27.75" hidden="false" customHeight="true" outlineLevel="0" collapsed="false">
      <c r="A37" s="4" t="s">
        <v>31</v>
      </c>
    </row>
    <row r="38" customFormat="false" ht="27.75" hidden="false" customHeight="true" outlineLevel="0" collapsed="false">
      <c r="A38" s="4" t="s">
        <v>32</v>
      </c>
    </row>
    <row r="39" customFormat="false" ht="27.75" hidden="false" customHeight="true" outlineLevel="0" collapsed="false">
      <c r="A39" s="4" t="s">
        <v>33</v>
      </c>
    </row>
    <row r="40" customFormat="false" ht="27.75" hidden="false" customHeight="true" outlineLevel="0" collapsed="false">
      <c r="A40" s="4"/>
    </row>
    <row r="41" customFormat="false" ht="27.75" hidden="false" customHeight="true" outlineLevel="0" collapsed="false">
      <c r="A41" s="5" t="s">
        <v>34</v>
      </c>
    </row>
    <row r="42" customFormat="false" ht="27.75" hidden="false" customHeight="true" outlineLevel="0" collapsed="false">
      <c r="A42" s="4" t="s">
        <v>35</v>
      </c>
    </row>
    <row r="43" customFormat="false" ht="27.75" hidden="false" customHeight="true" outlineLevel="0" collapsed="false">
      <c r="A43" s="4" t="s">
        <v>36</v>
      </c>
    </row>
    <row r="44" customFormat="false" ht="27.75" hidden="false" customHeight="true" outlineLevel="0" collapsed="false">
      <c r="A44" s="4" t="s">
        <v>37</v>
      </c>
    </row>
    <row r="45" customFormat="false" ht="27.75" hidden="false" customHeight="true" outlineLevel="0" collapsed="false">
      <c r="A45" s="4" t="s">
        <v>38</v>
      </c>
    </row>
    <row r="46" customFormat="false" ht="27.75" hidden="false" customHeight="true" outlineLevel="0" collapsed="false">
      <c r="A46" s="4" t="s">
        <v>39</v>
      </c>
    </row>
    <row r="47" customFormat="false" ht="27.75" hidden="false" customHeight="true" outlineLevel="0" collapsed="false">
      <c r="A47" s="4"/>
    </row>
    <row r="48" customFormat="false" ht="27.75" hidden="false" customHeight="true" outlineLevel="0" collapsed="false">
      <c r="A48" s="7" t="s">
        <v>40</v>
      </c>
    </row>
    <row r="49" customFormat="false" ht="27.75" hidden="false" customHeight="true" outlineLevel="0" collapsed="false">
      <c r="A49" s="4" t="s">
        <v>41</v>
      </c>
    </row>
    <row r="50" customFormat="false" ht="27.75" hidden="false" customHeight="true" outlineLevel="0" collapsed="false">
      <c r="A50" s="4" t="s">
        <v>42</v>
      </c>
    </row>
    <row r="51" customFormat="false" ht="27.75" hidden="false" customHeight="true" outlineLevel="0" collapsed="false">
      <c r="A51" s="4" t="s">
        <v>43</v>
      </c>
    </row>
    <row r="52" customFormat="false" ht="27.75" hidden="false" customHeight="true" outlineLevel="0" collapsed="false">
      <c r="A52" s="4"/>
    </row>
    <row r="53" customFormat="false" ht="27.75" hidden="false" customHeight="true" outlineLevel="0" collapsed="false">
      <c r="A53" s="5" t="s">
        <v>44</v>
      </c>
    </row>
    <row r="54" customFormat="false" ht="27.75" hidden="false" customHeight="true" outlineLevel="0" collapsed="false">
      <c r="A54" s="4" t="s">
        <v>45</v>
      </c>
    </row>
    <row r="55" customFormat="false" ht="27.75" hidden="false" customHeight="true" outlineLevel="0" collapsed="false">
      <c r="A55" s="4" t="s">
        <v>46</v>
      </c>
    </row>
    <row r="56" customFormat="false" ht="27.75" hidden="false" customHeight="true" outlineLevel="0" collapsed="false">
      <c r="A56" s="4" t="s">
        <v>47</v>
      </c>
    </row>
    <row r="57" customFormat="false" ht="27.75" hidden="false" customHeight="true" outlineLevel="0" collapsed="false">
      <c r="A57" s="4" t="s">
        <v>48</v>
      </c>
    </row>
    <row r="58" customFormat="false" ht="27.75" hidden="false" customHeight="true" outlineLevel="0" collapsed="false">
      <c r="A58" s="4"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32"/>
    <col collapsed="false" customWidth="true" hidden="false" outlineLevel="0" max="7" min="4" style="0" width="16"/>
  </cols>
  <sheetData>
    <row r="1" customFormat="false" ht="19.7" hidden="false" customHeight="false" outlineLevel="0" collapsed="false">
      <c r="A1" s="8" t="s">
        <v>50</v>
      </c>
      <c r="B1" s="8"/>
      <c r="C1" s="8"/>
      <c r="D1" s="8"/>
      <c r="E1" s="8"/>
      <c r="F1" s="8"/>
      <c r="G1" s="8"/>
      <c r="H1" s="8"/>
    </row>
    <row r="3" customFormat="false" ht="15" hidden="false" customHeight="false" outlineLevel="0" collapsed="false">
      <c r="A3" s="9" t="s">
        <v>51</v>
      </c>
      <c r="B3" s="9"/>
      <c r="C3" s="10" t="s">
        <v>52</v>
      </c>
      <c r="D3" s="10"/>
      <c r="E3" s="10"/>
      <c r="F3" s="10"/>
      <c r="J3" s="11" t="s">
        <v>53</v>
      </c>
    </row>
    <row r="4" customFormat="false" ht="15" hidden="false" customHeight="false" outlineLevel="0" collapsed="false">
      <c r="A4" s="12" t="s">
        <v>54</v>
      </c>
      <c r="B4" s="12"/>
      <c r="C4" s="12"/>
      <c r="D4" s="12"/>
      <c r="E4" s="12"/>
      <c r="F4" s="12"/>
      <c r="J4" s="11" t="n">
        <f aca="false">IFERROR(MATCH($C$3,HISTORICAL!$R$4:$R$25,0)+3,"")</f>
        <v>22</v>
      </c>
    </row>
    <row r="6" customFormat="false" ht="15" hidden="false" customHeight="false" outlineLevel="0" collapsed="false">
      <c r="A6" s="13" t="s">
        <v>55</v>
      </c>
      <c r="B6" s="13" t="s">
        <v>56</v>
      </c>
      <c r="C6" s="13" t="s">
        <v>57</v>
      </c>
      <c r="D6" s="13" t="s">
        <v>58</v>
      </c>
      <c r="E6" s="13" t="s">
        <v>59</v>
      </c>
      <c r="F6" s="13" t="s">
        <v>60</v>
      </c>
      <c r="G6" s="13" t="s">
        <v>61</v>
      </c>
    </row>
    <row r="7" customFormat="false" ht="45" hidden="false" customHeight="true" outlineLevel="0" collapsed="false">
      <c r="A7" s="14" t="str">
        <f aca="false">IF($J$4="","",INDEX(HISTORICAL!B:B,$J$4))</f>
        <v>ITSEC ASIA</v>
      </c>
      <c r="B7" s="14" t="str">
        <f aca="false">IF($J$4="","",INDEX(HISTORICAL!C:C,$J$4))</f>
        <v>PENETRATION TEST</v>
      </c>
      <c r="C7" s="14" t="str">
        <f aca="false">IF($J$4="","",INDEX(HISTORICAL!O:O,$J$4))</f>
        <v>Fauzi ARYANTO</v>
      </c>
      <c r="D7" s="15" t="n">
        <f aca="false">IF($J$4="","",INDEX(HISTORICAL!M:M,$J$4))</f>
        <v>3</v>
      </c>
      <c r="E7" s="14" t="str">
        <f aca="false">IF($J$4="","",INDEX(HISTORICAL!N:N,$J$4))</f>
        <v>Meet Expectation</v>
      </c>
      <c r="F7" s="15" t="n">
        <f aca="false">IF($J$4="","",INDEX(HISTORICAL!L:L,$J$4))</f>
        <v>3</v>
      </c>
      <c r="G7" s="14" t="str">
        <f aca="false">IF($J$4="","",IF(OR(F7="",D7=""),"n/a",IF(D7&gt;F7,"▲ Naik "&amp;TEXT(D7-F7,"0.00"),IF(D7&lt;F7,"▼ Turun "&amp;TEXT(F7-D7,"0.00"),"— Stabil"))))</f>
        <v>— Stabil</v>
      </c>
    </row>
    <row r="10" customFormat="false" ht="15" hidden="false" customHeight="false" outlineLevel="0" collapsed="false">
      <c r="A10" s="16" t="s">
        <v>62</v>
      </c>
      <c r="B10" s="16"/>
      <c r="C10" s="16"/>
      <c r="D10" s="16"/>
      <c r="E10" s="16"/>
      <c r="F10" s="16"/>
      <c r="G10" s="16"/>
      <c r="H10" s="16"/>
    </row>
    <row r="11" customFormat="false" ht="15" hidden="false" customHeight="false" outlineLevel="0" collapsed="false">
      <c r="A11" s="17" t="s">
        <v>63</v>
      </c>
      <c r="B11" s="17" t="s">
        <v>64</v>
      </c>
      <c r="C11" s="17" t="s">
        <v>65</v>
      </c>
      <c r="D11" s="17" t="s">
        <v>66</v>
      </c>
      <c r="E11" s="17" t="s">
        <v>67</v>
      </c>
      <c r="F11" s="17" t="s">
        <v>68</v>
      </c>
      <c r="G11" s="17" t="s">
        <v>69</v>
      </c>
      <c r="H11" s="17" t="s">
        <v>70</v>
      </c>
      <c r="I11" s="17" t="s">
        <v>71</v>
      </c>
      <c r="J11" s="17" t="s">
        <v>72</v>
      </c>
    </row>
    <row r="12" customFormat="false" ht="15" hidden="false" customHeight="false" outlineLevel="0" collapsed="false">
      <c r="A12" s="18" t="str">
        <f aca="false">IF($J$4="","",IF(OR(INDEX(HISTORICAL!D:D,$J$4)="N/A",INDEX(HISTORICAL!D:D,$J$4)=0),"-",INDEX(HISTORICAL!D:D,$J$4)))</f>
        <v>-</v>
      </c>
      <c r="B12" s="18" t="str">
        <f aca="false">IF($J$4="","",IF(OR(INDEX(HISTORICAL!E:E,$J$4)="N/A",INDEX(HISTORICAL!E:E,$J$4)=0),"-",INDEX(HISTORICAL!E:E,$J$4)))</f>
        <v>-</v>
      </c>
      <c r="C12" s="18" t="str">
        <f aca="false">IF($J$4="","",IF(OR(INDEX(HISTORICAL!F:F,$J$4)="N/A",INDEX(HISTORICAL!F:F,$J$4)=0),"-",INDEX(HISTORICAL!F:F,$J$4)))</f>
        <v>-</v>
      </c>
      <c r="D12" s="18" t="str">
        <f aca="false">IF($J$4="","",IF(OR(INDEX(HISTORICAL!G:G,$J$4)="N/A",INDEX(HISTORICAL!G:G,$J$4)=0),"-",INDEX(HISTORICAL!G:G,$J$4)))</f>
        <v>-</v>
      </c>
      <c r="E12" s="18" t="str">
        <f aca="false">IF($J$4="","",IF(OR(INDEX(HISTORICAL!H:H,$J$4)="N/A",INDEX(HISTORICAL!H:H,$J$4)=0),"-",INDEX(HISTORICAL!H:H,$J$4)))</f>
        <v>-</v>
      </c>
      <c r="F12" s="18" t="str">
        <f aca="false">IF($J$4="","",IF(OR(INDEX(HISTORICAL!I:I,$J$4)="N/A",INDEX(HISTORICAL!I:I,$J$4)=0),"-",INDEX(HISTORICAL!I:I,$J$4)))</f>
        <v>-</v>
      </c>
      <c r="G12" s="18" t="str">
        <f aca="false">IF($J$4="","",IF(OR(INDEX(HISTORICAL!J:J,$J$4)="N/A",INDEX(HISTORICAL!J:J,$J$4)=0),"-",INDEX(HISTORICAL!J:J,$J$4)))</f>
        <v>-</v>
      </c>
      <c r="H12" s="18" t="str">
        <f aca="false">IF($J$4="","",IF(OR(INDEX(HISTORICAL!K:K,$J$4)="N/A",INDEX(HISTORICAL!K:K,$J$4)=0),"-",INDEX(HISTORICAL!K:K,$J$4)))</f>
        <v>-</v>
      </c>
      <c r="I12" s="18" t="n">
        <f aca="false">IF($J$4="","",IF(OR(INDEX(HISTORICAL!L:L,$J$4)="N/A",INDEX(HISTORICAL!L:L,$J$4)=0),"-",INDEX(HISTORICAL!L:L,$J$4)))</f>
        <v>3</v>
      </c>
      <c r="J12" s="18" t="n">
        <f aca="false">IF($J$4="","",IF(OR(INDEX(HISTORICAL!M:M,$J$4)="N/A",INDEX(HISTORICAL!M:M,$J$4)=0),"-",INDEX(HISTORICAL!M:M,$J$4)))</f>
        <v>3</v>
      </c>
    </row>
    <row r="19" customFormat="false" ht="15" hidden="false" customHeight="false" outlineLevel="0" collapsed="false">
      <c r="A19" s="11" t="s">
        <v>73</v>
      </c>
    </row>
    <row r="20" customFormat="false" ht="15" hidden="false" customHeight="false" outlineLevel="0" collapsed="false">
      <c r="A20" s="19" t="s">
        <v>63</v>
      </c>
      <c r="B20" s="19" t="e">
        <f aca="false">IFERROR(IF(A12="-",NA(),VALUE(A12)),NA())</f>
        <v>#N/A</v>
      </c>
    </row>
    <row r="21" customFormat="false" ht="15" hidden="false" customHeight="false" outlineLevel="0" collapsed="false">
      <c r="A21" s="19" t="s">
        <v>64</v>
      </c>
      <c r="B21" s="19" t="e">
        <f aca="false">IFERROR(IF(B12="-",NA(),VALUE(B12)),NA())</f>
        <v>#N/A</v>
      </c>
    </row>
    <row r="22" customFormat="false" ht="15" hidden="false" customHeight="false" outlineLevel="0" collapsed="false">
      <c r="A22" s="19" t="s">
        <v>65</v>
      </c>
      <c r="B22" s="19" t="e">
        <f aca="false">IFERROR(IF(C12="-",NA(),VALUE(C12)),NA())</f>
        <v>#N/A</v>
      </c>
    </row>
    <row r="23" customFormat="false" ht="15" hidden="false" customHeight="false" outlineLevel="0" collapsed="false">
      <c r="A23" s="19" t="s">
        <v>66</v>
      </c>
      <c r="B23" s="19" t="e">
        <f aca="false">IFERROR(IF(D12="-",NA(),VALUE(D12)),NA())</f>
        <v>#N/A</v>
      </c>
    </row>
    <row r="24" customFormat="false" ht="15" hidden="false" customHeight="false" outlineLevel="0" collapsed="false">
      <c r="A24" s="19" t="s">
        <v>67</v>
      </c>
      <c r="B24" s="19" t="e">
        <f aca="false">IFERROR(IF(E12="-",NA(),VALUE(E12)),NA())</f>
        <v>#N/A</v>
      </c>
    </row>
    <row r="25" customFormat="false" ht="15" hidden="false" customHeight="false" outlineLevel="0" collapsed="false">
      <c r="A25" s="19" t="s">
        <v>68</v>
      </c>
      <c r="B25" s="19" t="e">
        <f aca="false">IFERROR(IF(F12="-",NA(),VALUE(F12)),NA())</f>
        <v>#N/A</v>
      </c>
    </row>
    <row r="26" customFormat="false" ht="15" hidden="false" customHeight="false" outlineLevel="0" collapsed="false">
      <c r="A26" s="19" t="s">
        <v>69</v>
      </c>
      <c r="B26" s="19" t="e">
        <f aca="false">IFERROR(IF(G12="-",NA(),VALUE(G12)),NA())</f>
        <v>#N/A</v>
      </c>
    </row>
    <row r="27" customFormat="false" ht="15" hidden="false" customHeight="false" outlineLevel="0" collapsed="false">
      <c r="A27" s="19" t="s">
        <v>70</v>
      </c>
      <c r="B27" s="19" t="e">
        <f aca="false">IFERROR(IF(H12="-",NA(),VALUE(H12)),NA())</f>
        <v>#N/A</v>
      </c>
    </row>
    <row r="28" customFormat="false" ht="15" hidden="false" customHeight="false" outlineLevel="0" collapsed="false">
      <c r="A28" s="20" t="s">
        <v>74</v>
      </c>
      <c r="B28" s="20"/>
      <c r="C28" s="20"/>
      <c r="D28" s="20"/>
      <c r="E28" s="20"/>
      <c r="F28" s="20"/>
      <c r="G28" s="20"/>
      <c r="H28" s="20"/>
    </row>
    <row r="29" customFormat="false" ht="45" hidden="false" customHeight="true" outlineLevel="0" collapsed="false">
      <c r="A29" s="21" t="s">
        <v>75</v>
      </c>
      <c r="B29" s="22" t="str">
        <f aca="false">IF($J$4="","",INDEX(HISTORICAL!P:P,$J$4))</f>
        <v>Currently no need improvement</v>
      </c>
      <c r="C29" s="22"/>
      <c r="D29" s="22"/>
      <c r="E29" s="22"/>
      <c r="F29" s="22"/>
      <c r="G29" s="22"/>
      <c r="H29" s="22"/>
    </row>
    <row r="30" customFormat="false" ht="45" hidden="false" customHeight="true" outlineLevel="0" collapsed="false">
      <c r="A30" s="21" t="s">
        <v>76</v>
      </c>
      <c r="B30" s="23" t="str">
        <f aca="false">IF($J$4="","",INDEX(HISTORICAL!Q:Q,$J$4))</f>
        <v>-</v>
      </c>
      <c r="C30" s="23"/>
      <c r="D30" s="23"/>
      <c r="E30" s="23"/>
      <c r="F30" s="23"/>
      <c r="G30" s="23"/>
      <c r="H30" s="23"/>
    </row>
    <row r="31" customFormat="false" ht="15" hidden="false" customHeight="false" outlineLevel="0" collapsed="false">
      <c r="A31" s="24"/>
      <c r="B31" s="24"/>
      <c r="C31" s="24"/>
      <c r="D31" s="24"/>
      <c r="E31" s="24"/>
      <c r="F31" s="24"/>
      <c r="G31" s="24"/>
      <c r="H31" s="24"/>
    </row>
    <row r="33" customFormat="false" ht="15" hidden="false" customHeight="false" outlineLevel="0" collapsed="false">
      <c r="A33" s="16" t="s">
        <v>77</v>
      </c>
      <c r="B33" s="16"/>
      <c r="C33" s="16"/>
      <c r="D33" s="16"/>
      <c r="E33" s="16"/>
      <c r="F33" s="16"/>
      <c r="G33" s="16"/>
      <c r="H33" s="16"/>
    </row>
    <row r="34" customFormat="false" ht="15" hidden="false" customHeight="false" outlineLevel="0" collapsed="false">
      <c r="A34" s="25" t="s">
        <v>78</v>
      </c>
      <c r="B34" s="25" t="s">
        <v>55</v>
      </c>
      <c r="C34" s="25" t="s">
        <v>56</v>
      </c>
      <c r="D34" s="25" t="s">
        <v>60</v>
      </c>
      <c r="E34" s="25" t="s">
        <v>58</v>
      </c>
      <c r="F34" s="25" t="s">
        <v>79</v>
      </c>
      <c r="G34" s="25" t="s">
        <v>80</v>
      </c>
    </row>
    <row r="35" customFormat="false" ht="22.35" hidden="false" customHeight="false" outlineLevel="0" collapsed="false">
      <c r="A35" s="26" t="n">
        <v>1</v>
      </c>
      <c r="B35" s="27" t="str">
        <f aca="false">HISTORICAL!B4</f>
        <v>INDOSAT</v>
      </c>
      <c r="C35" s="27" t="str">
        <f aca="false">HISTORICAL!C4</f>
        <v>LAYANAN PBX BERBASISKAN CLOUD DENGAN TEKNOLOGI SIP TRUNK</v>
      </c>
      <c r="D35" s="28" t="n">
        <f aca="false">IF(HISTORICAL!L4="N/A","-",HISTORICAL!L4)</f>
        <v>3.31842105263158</v>
      </c>
      <c r="E35" s="28" t="n">
        <f aca="false">IF(HISTORICAL!M4="N/A","-",HISTORICAL!M4)</f>
        <v>3.43947368421053</v>
      </c>
      <c r="F35" s="26" t="str">
        <f aca="false">HISTORICAL!N4</f>
        <v>Meet Expectation</v>
      </c>
      <c r="G35" s="26" t="str">
        <f aca="false">IF(OR(NOT(ISNUMBER(D35)),NOT(ISNUMBER(E35))),"-",IF(E35&gt;D35,"▲",IF(E35&lt;D35,"▼","—")))</f>
        <v>▲</v>
      </c>
    </row>
    <row r="36" customFormat="false" ht="32.8" hidden="false" customHeight="false" outlineLevel="0" collapsed="false">
      <c r="A36" s="26" t="n">
        <v>2</v>
      </c>
      <c r="B36" s="27" t="str">
        <f aca="false">HISTORICAL!B5</f>
        <v>INFORMASI TEKNOLOGI INDONESIA</v>
      </c>
      <c r="C36" s="27" t="str">
        <f aca="false">HISTORICAL!C5</f>
        <v>PENYEDIAAN JASA SMS BROADCAST DAN JASA SMS PULL; CONNECTIVITY PRIMARY LINK</v>
      </c>
      <c r="D36" s="28" t="n">
        <f aca="false">IF(HISTORICAL!L5="N/A","-",HISTORICAL!L5)</f>
        <v>3</v>
      </c>
      <c r="E36" s="28" t="n">
        <f aca="false">IF(HISTORICAL!M5="N/A","-",HISTORICAL!M5)</f>
        <v>3</v>
      </c>
      <c r="F36" s="26" t="str">
        <f aca="false">HISTORICAL!N5</f>
        <v>Meet Expectation</v>
      </c>
      <c r="G36" s="26" t="str">
        <f aca="false">IF(OR(NOT(ISNUMBER(D36)),NOT(ISNUMBER(E36))),"-",IF(E36&gt;D36,"▲",IF(E36&lt;D36,"▼","—")))</f>
        <v>—</v>
      </c>
    </row>
    <row r="37" customFormat="false" ht="22.35" hidden="false" customHeight="false" outlineLevel="0" collapsed="false">
      <c r="A37" s="26" t="n">
        <v>3</v>
      </c>
      <c r="B37" s="27" t="str">
        <f aca="false">HISTORICAL!B6</f>
        <v>MITRA INTEGRASI INFORMATIKA</v>
      </c>
      <c r="C37" s="27" t="str">
        <f aca="false">HISTORICAL!C6</f>
        <v>SFDC MAINTENANCE</v>
      </c>
      <c r="D37" s="28" t="n">
        <f aca="false">IF(HISTORICAL!L6="N/A","-",HISTORICAL!L6)</f>
        <v>4.82948717948718</v>
      </c>
      <c r="E37" s="28" t="n">
        <f aca="false">IF(HISTORICAL!M6="N/A","-",HISTORICAL!M6)</f>
        <v>4.74871794871795</v>
      </c>
      <c r="F37" s="26" t="str">
        <f aca="false">HISTORICAL!N6</f>
        <v>Exceed Expectation</v>
      </c>
      <c r="G37" s="26" t="str">
        <f aca="false">IF(OR(NOT(ISNUMBER(D37)),NOT(ISNUMBER(E37))),"-",IF(E37&gt;D37,"▲",IF(E37&lt;D37,"▼","—")))</f>
        <v>▼</v>
      </c>
    </row>
    <row r="38" customFormat="false" ht="22.35" hidden="false" customHeight="false" outlineLevel="0" collapsed="false">
      <c r="A38" s="26" t="n">
        <v>4</v>
      </c>
      <c r="B38" s="27" t="str">
        <f aca="false">HISTORICAL!B7</f>
        <v>MULTIFILING MITRA INDONESIA</v>
      </c>
      <c r="C38" s="27" t="str">
        <f aca="false">HISTORICAL!C7</f>
        <v>RECORD MANAGEMENT SERVICE</v>
      </c>
      <c r="D38" s="28" t="n">
        <f aca="false">IF(HISTORICAL!L7="N/A","-",HISTORICAL!L7)</f>
        <v>3.03181818181818</v>
      </c>
      <c r="E38" s="28" t="n">
        <f aca="false">IF(HISTORICAL!M7="N/A","-",HISTORICAL!M7)</f>
        <v>3</v>
      </c>
      <c r="F38" s="26" t="str">
        <f aca="false">HISTORICAL!N7</f>
        <v>Meet Expectation</v>
      </c>
      <c r="G38" s="26" t="str">
        <f aca="false">IF(OR(NOT(ISNUMBER(D38)),NOT(ISNUMBER(E38))),"-",IF(E38&gt;D38,"▲",IF(E38&lt;D38,"▼","—")))</f>
        <v>▼</v>
      </c>
    </row>
    <row r="39" customFormat="false" ht="22.35" hidden="false" customHeight="false" outlineLevel="0" collapsed="false">
      <c r="A39" s="26" t="n">
        <v>5</v>
      </c>
      <c r="B39" s="27" t="str">
        <f aca="false">HISTORICAL!B8</f>
        <v>CIPTADRA SOFTINDO</v>
      </c>
      <c r="C39" s="27" t="str">
        <f aca="false">HISTORICAL!C8</f>
        <v>PEMELIHARAAN PERANGKAT LUNAK AXITS  DAN PERANGKAT LUNAK DMTM</v>
      </c>
      <c r="D39" s="28" t="n">
        <f aca="false">IF(HISTORICAL!L8="N/A","-",HISTORICAL!L8)</f>
        <v>4</v>
      </c>
      <c r="E39" s="28" t="n">
        <f aca="false">IF(HISTORICAL!M8="N/A","-",HISTORICAL!M8)</f>
        <v>4.3</v>
      </c>
      <c r="F39" s="26" t="str">
        <f aca="false">HISTORICAL!N8</f>
        <v>Exceed Expectation</v>
      </c>
      <c r="G39" s="26" t="str">
        <f aca="false">IF(OR(NOT(ISNUMBER(D39)),NOT(ISNUMBER(E39))),"-",IF(E39&gt;D39,"▲",IF(E39&lt;D39,"▼","—")))</f>
        <v>▲</v>
      </c>
    </row>
    <row r="40" customFormat="false" ht="22.35" hidden="false" customHeight="false" outlineLevel="0" collapsed="false">
      <c r="A40" s="26" t="n">
        <v>6</v>
      </c>
      <c r="B40" s="27" t="str">
        <f aca="false">HISTORICAL!B9</f>
        <v>INMOTION INOVASI TEKNOLOGI</v>
      </c>
      <c r="C40" s="27" t="str">
        <f aca="false">HISTORICAL!C9</f>
        <v>JASA APLIKASI CHATBOT DAN LIVE CHAT</v>
      </c>
      <c r="D40" s="28" t="n">
        <f aca="false">IF(HISTORICAL!L9="N/A","-",HISTORICAL!L9)</f>
        <v>4</v>
      </c>
      <c r="E40" s="28" t="n">
        <f aca="false">IF(HISTORICAL!M9="N/A","-",HISTORICAL!M9)</f>
        <v>4</v>
      </c>
      <c r="F40" s="26" t="str">
        <f aca="false">HISTORICAL!N9</f>
        <v>Exceed Expectation</v>
      </c>
      <c r="G40" s="26" t="str">
        <f aca="false">IF(OR(NOT(ISNUMBER(D40)),NOT(ISNUMBER(E40))),"-",IF(E40&gt;D40,"▲",IF(E40&lt;D40,"▼","—")))</f>
        <v>—</v>
      </c>
    </row>
    <row r="41" customFormat="false" ht="22.35" hidden="false" customHeight="false" outlineLevel="0" collapsed="false">
      <c r="A41" s="26" t="n">
        <v>7</v>
      </c>
      <c r="B41" s="27" t="str">
        <f aca="false">HISTORICAL!B10</f>
        <v>SATRIA ANTARAN PRIMA TBK</v>
      </c>
      <c r="C41" s="27" t="str">
        <f aca="false">HISTORICAL!C10</f>
        <v>PENGIRIMAN POLIS DOKUMEN DAN PAKET DALAM NEGERI</v>
      </c>
      <c r="D41" s="28" t="n">
        <f aca="false">IF(HISTORICAL!L10="N/A","-",HISTORICAL!L10)</f>
        <v>3</v>
      </c>
      <c r="E41" s="28" t="n">
        <f aca="false">IF(HISTORICAL!M10="N/A","-",HISTORICAL!M10)</f>
        <v>3.23833333333333</v>
      </c>
      <c r="F41" s="26" t="str">
        <f aca="false">HISTORICAL!N10</f>
        <v>Meet Expectation</v>
      </c>
      <c r="G41" s="26" t="str">
        <f aca="false">IF(OR(NOT(ISNUMBER(D41)),NOT(ISNUMBER(E41))),"-",IF(E41&gt;D41,"▲",IF(E41&lt;D41,"▼","—")))</f>
        <v>▲</v>
      </c>
    </row>
    <row r="42" customFormat="false" ht="15" hidden="false" customHeight="false" outlineLevel="0" collapsed="false">
      <c r="A42" s="26" t="n">
        <v>8</v>
      </c>
      <c r="B42" s="27" t="str">
        <f aca="false">HISTORICAL!B11</f>
        <v>SATRIA ANTARAN PRIMA TBK</v>
      </c>
      <c r="C42" s="27" t="str">
        <f aca="false">HISTORICAL!C11</f>
        <v>MAILING ROOM</v>
      </c>
      <c r="D42" s="28" t="n">
        <f aca="false">IF(HISTORICAL!L11="N/A","-",HISTORICAL!L11)</f>
        <v>3.40416666666667</v>
      </c>
      <c r="E42" s="28" t="n">
        <f aca="false">IF(HISTORICAL!M11="N/A","-",HISTORICAL!M11)</f>
        <v>3.04375</v>
      </c>
      <c r="F42" s="26" t="str">
        <f aca="false">HISTORICAL!N11</f>
        <v>Meet Expectation</v>
      </c>
      <c r="G42" s="26" t="str">
        <f aca="false">IF(OR(NOT(ISNUMBER(D42)),NOT(ISNUMBER(E42))),"-",IF(E42&gt;D42,"▲",IF(E42&lt;D42,"▼","—")))</f>
        <v>▼</v>
      </c>
    </row>
    <row r="43" customFormat="false" ht="22.35" hidden="false" customHeight="false" outlineLevel="0" collapsed="false">
      <c r="A43" s="26" t="n">
        <v>9</v>
      </c>
      <c r="B43" s="27" t="str">
        <f aca="false">HISTORICAL!B12</f>
        <v>TARGET SUKSES SINERGI</v>
      </c>
      <c r="C43" s="27" t="str">
        <f aca="false">HISTORICAL!C12</f>
        <v>PENGIRIMAN EMAIL MARKETING AUTOMATION</v>
      </c>
      <c r="D43" s="28" t="n">
        <f aca="false">IF(HISTORICAL!L12="N/A","-",HISTORICAL!L12)</f>
        <v>3.9</v>
      </c>
      <c r="E43" s="28" t="n">
        <f aca="false">IF(HISTORICAL!M12="N/A","-",HISTORICAL!M12)</f>
        <v>2.94166666666667</v>
      </c>
      <c r="F43" s="26" t="str">
        <f aca="false">HISTORICAL!N12</f>
        <v>Below Expectation</v>
      </c>
      <c r="G43" s="26" t="str">
        <f aca="false">IF(OR(NOT(ISNUMBER(D43)),NOT(ISNUMBER(E43))),"-",IF(E43&gt;D43,"▲",IF(E43&lt;D43,"▼","—")))</f>
        <v>▼</v>
      </c>
    </row>
    <row r="44" customFormat="false" ht="15" hidden="false" customHeight="false" outlineLevel="0" collapsed="false">
      <c r="A44" s="26" t="n">
        <v>10</v>
      </c>
      <c r="B44" s="27" t="str">
        <f aca="false">HISTORICAL!B13</f>
        <v>WIZ TECHNOLOGY INDONESIA</v>
      </c>
      <c r="C44" s="27" t="str">
        <f aca="false">HISTORICAL!C13</f>
        <v>VOICE BOT REMINDER CALL</v>
      </c>
      <c r="D44" s="28" t="str">
        <f aca="false">IF(HISTORICAL!L13="N/A","-",HISTORICAL!L13)</f>
        <v>-</v>
      </c>
      <c r="E44" s="28" t="n">
        <f aca="false">IF(HISTORICAL!M13="N/A","-",HISTORICAL!M13)</f>
        <v>3.0875</v>
      </c>
      <c r="F44" s="26" t="str">
        <f aca="false">HISTORICAL!N13</f>
        <v>Meet Expectation</v>
      </c>
      <c r="G44" s="26" t="str">
        <f aca="false">IF(OR(NOT(ISNUMBER(D44)),NOT(ISNUMBER(E44))),"-",IF(E44&gt;D44,"▲",IF(E44&lt;D44,"▼","—")))</f>
        <v>-</v>
      </c>
    </row>
    <row r="45" customFormat="false" ht="22.35" hidden="false" customHeight="false" outlineLevel="0" collapsed="false">
      <c r="A45" s="26" t="n">
        <v>11</v>
      </c>
      <c r="B45" s="27" t="str">
        <f aca="false">HISTORICAL!B14</f>
        <v>KARYAPUTRA SURYAGEMILANG</v>
      </c>
      <c r="C45" s="27" t="str">
        <f aca="false">HISTORICAL!C14</f>
        <v>TELEMARKETING REVAMP PROJECT</v>
      </c>
      <c r="D45" s="28" t="n">
        <f aca="false">IF(HISTORICAL!L14="N/A","-",HISTORICAL!L14)</f>
        <v>3.03181818181818</v>
      </c>
      <c r="E45" s="28" t="n">
        <f aca="false">IF(HISTORICAL!M14="N/A","-",HISTORICAL!M14)</f>
        <v>3.53939393939394</v>
      </c>
      <c r="F45" s="26" t="str">
        <f aca="false">HISTORICAL!N14</f>
        <v>Meet Expectation</v>
      </c>
      <c r="G45" s="26" t="str">
        <f aca="false">IF(OR(NOT(ISNUMBER(D45)),NOT(ISNUMBER(E45))),"-",IF(E45&gt;D45,"▲",IF(E45&lt;D45,"▼","—")))</f>
        <v>▲</v>
      </c>
    </row>
    <row r="46" customFormat="false" ht="15" hidden="false" customHeight="false" outlineLevel="0" collapsed="false">
      <c r="A46" s="26" t="n">
        <v>12</v>
      </c>
      <c r="B46" s="27" t="str">
        <f aca="false">HISTORICAL!B15</f>
        <v>ARAH SEJAHTERA ABADI</v>
      </c>
      <c r="C46" s="27" t="str">
        <f aca="false">HISTORICAL!C15</f>
        <v>PERJANJIAN SEWA MENYEWA</v>
      </c>
      <c r="D46" s="28" t="n">
        <f aca="false">IF(HISTORICAL!L15="N/A","-",HISTORICAL!L15)</f>
        <v>2.96111111111111</v>
      </c>
      <c r="E46" s="28" t="str">
        <f aca="false">IF(HISTORICAL!M15="N/A","-",HISTORICAL!M15)</f>
        <v>-</v>
      </c>
      <c r="F46" s="26" t="str">
        <f aca="false">HISTORICAL!N15</f>
        <v>Below Expectation</v>
      </c>
      <c r="G46" s="26" t="str">
        <f aca="false">IF(OR(NOT(ISNUMBER(D46)),NOT(ISNUMBER(E46))),"-",IF(E46&gt;D46,"▲",IF(E46&lt;D46,"▼","—")))</f>
        <v>-</v>
      </c>
    </row>
    <row r="47" customFormat="false" ht="22.35" hidden="false" customHeight="false" outlineLevel="0" collapsed="false">
      <c r="A47" s="26" t="n">
        <v>13</v>
      </c>
      <c r="B47" s="27" t="str">
        <f aca="false">HISTORICAL!B16</f>
        <v>DELOITTE CONSULTING</v>
      </c>
      <c r="C47" s="27" t="str">
        <f aca="false">HISTORICAL!C16</f>
        <v>DATA PRIVACY TOOLS &amp; PELATIHAN PERSONAL DATA PROTECTION (PDP)</v>
      </c>
      <c r="D47" s="28" t="n">
        <f aca="false">IF(HISTORICAL!L16="N/A","-",HISTORICAL!L16)</f>
        <v>3.16363636363636</v>
      </c>
      <c r="E47" s="28" t="n">
        <f aca="false">IF(HISTORICAL!M16="N/A","-",HISTORICAL!M16)</f>
        <v>4.06363636363636</v>
      </c>
      <c r="F47" s="26" t="str">
        <f aca="false">HISTORICAL!N16</f>
        <v>Exceed Expectation</v>
      </c>
      <c r="G47" s="26" t="str">
        <f aca="false">IF(OR(NOT(ISNUMBER(D47)),NOT(ISNUMBER(E47))),"-",IF(E47&gt;D47,"▲",IF(E47&lt;D47,"▼","—")))</f>
        <v>▲</v>
      </c>
    </row>
    <row r="48" customFormat="false" ht="22.35" hidden="false" customHeight="false" outlineLevel="0" collapsed="false">
      <c r="A48" s="26" t="n">
        <v>14</v>
      </c>
      <c r="B48" s="27" t="str">
        <f aca="false">HISTORICAL!B17</f>
        <v>SUTRA MANAGEMENT CONSULTANCIES</v>
      </c>
      <c r="C48" s="27" t="str">
        <f aca="false">HISTORICAL!C17</f>
        <v>IMPLEMENTASI SAS IFRS17</v>
      </c>
      <c r="D48" s="28" t="n">
        <f aca="false">IF(HISTORICAL!L17="N/A","-",HISTORICAL!L17)</f>
        <v>3.68333333333333</v>
      </c>
      <c r="E48" s="28" t="n">
        <f aca="false">IF(HISTORICAL!M17="N/A","-",HISTORICAL!M17)</f>
        <v>3.33333333333333</v>
      </c>
      <c r="F48" s="26" t="str">
        <f aca="false">HISTORICAL!N17</f>
        <v>Meet Expectation</v>
      </c>
      <c r="G48" s="26" t="str">
        <f aca="false">IF(OR(NOT(ISNUMBER(D48)),NOT(ISNUMBER(E48))),"-",IF(E48&gt;D48,"▲",IF(E48&lt;D48,"▼","—")))</f>
        <v>▼</v>
      </c>
    </row>
    <row r="49" customFormat="false" ht="15" hidden="false" customHeight="false" outlineLevel="0" collapsed="false">
      <c r="A49" s="26" t="n">
        <v>15</v>
      </c>
      <c r="B49" s="27" t="str">
        <f aca="false">HISTORICAL!B18</f>
        <v>TMF INDONESIA</v>
      </c>
      <c r="C49" s="27" t="str">
        <f aca="false">HISTORICAL!C18</f>
        <v>PAYROLL</v>
      </c>
      <c r="D49" s="28" t="n">
        <f aca="false">IF(HISTORICAL!L18="N/A","-",HISTORICAL!L18)</f>
        <v>3</v>
      </c>
      <c r="E49" s="28" t="n">
        <f aca="false">IF(HISTORICAL!M18="N/A","-",HISTORICAL!M18)</f>
        <v>3</v>
      </c>
      <c r="F49" s="26" t="str">
        <f aca="false">HISTORICAL!N18</f>
        <v>Meet Expectation</v>
      </c>
      <c r="G49" s="26" t="str">
        <f aca="false">IF(OR(NOT(ISNUMBER(D49)),NOT(ISNUMBER(E49))),"-",IF(E49&gt;D49,"▲",IF(E49&lt;D49,"▼","—")))</f>
        <v>—</v>
      </c>
    </row>
    <row r="50" customFormat="false" ht="22.35" hidden="false" customHeight="false" outlineLevel="0" collapsed="false">
      <c r="A50" s="26" t="n">
        <v>16</v>
      </c>
      <c r="B50" s="27" t="str">
        <f aca="false">HISTORICAL!B19</f>
        <v>REYCOM DOCUMENT SOLUTION</v>
      </c>
      <c r="C50" s="27" t="str">
        <f aca="false">HISTORICAL!C19</f>
        <v>PRINTING &amp; DMC</v>
      </c>
      <c r="D50" s="28" t="n">
        <f aca="false">IF(HISTORICAL!L19="N/A","-",HISTORICAL!L19)</f>
        <v>4.76666666666667</v>
      </c>
      <c r="E50" s="28" t="n">
        <f aca="false">IF(HISTORICAL!M19="N/A","-",HISTORICAL!M19)</f>
        <v>4.3</v>
      </c>
      <c r="F50" s="26" t="str">
        <f aca="false">HISTORICAL!N19</f>
        <v>Exceed Expectation</v>
      </c>
      <c r="G50" s="26" t="str">
        <f aca="false">IF(OR(NOT(ISNUMBER(D50)),NOT(ISNUMBER(E50))),"-",IF(E50&gt;D50,"▲",IF(E50&lt;D50,"▼","—")))</f>
        <v>▼</v>
      </c>
    </row>
    <row r="51" customFormat="false" ht="15" hidden="false" customHeight="false" outlineLevel="0" collapsed="false">
      <c r="A51" s="26" t="n">
        <v>17</v>
      </c>
      <c r="B51" s="27" t="str">
        <f aca="false">HISTORICAL!B20</f>
        <v>FPT METRODATA INDONESIA</v>
      </c>
      <c r="C51" s="27" t="str">
        <f aca="false">HISTORICAL!C20</f>
        <v>PENETRATION TEST</v>
      </c>
      <c r="D51" s="28" t="n">
        <f aca="false">IF(HISTORICAL!L20="N/A","-",HISTORICAL!L20)</f>
        <v>3</v>
      </c>
      <c r="E51" s="28" t="n">
        <f aca="false">IF(HISTORICAL!M20="N/A","-",HISTORICAL!M20)</f>
        <v>4</v>
      </c>
      <c r="F51" s="26" t="str">
        <f aca="false">HISTORICAL!N20</f>
        <v>Exceed Expectation</v>
      </c>
      <c r="G51" s="26" t="str">
        <f aca="false">IF(OR(NOT(ISNUMBER(D51)),NOT(ISNUMBER(E51))),"-",IF(E51&gt;D51,"▲",IF(E51&lt;D51,"▼","—")))</f>
        <v>▲</v>
      </c>
    </row>
    <row r="52" customFormat="false" ht="15" hidden="false" customHeight="false" outlineLevel="0" collapsed="false">
      <c r="A52" s="26" t="n">
        <v>18</v>
      </c>
      <c r="B52" s="27" t="str">
        <f aca="false">HISTORICAL!B21</f>
        <v>IPROTEKSI TELEMATIKA</v>
      </c>
      <c r="C52" s="27" t="str">
        <f aca="false">HISTORICAL!C21</f>
        <v>PENETRATION TEST</v>
      </c>
      <c r="D52" s="28" t="n">
        <f aca="false">IF(HISTORICAL!L21="N/A","-",HISTORICAL!L21)</f>
        <v>4</v>
      </c>
      <c r="E52" s="28" t="n">
        <f aca="false">IF(HISTORICAL!M21="N/A","-",HISTORICAL!M21)</f>
        <v>4</v>
      </c>
      <c r="F52" s="26" t="str">
        <f aca="false">HISTORICAL!N21</f>
        <v>Exceed Expectation</v>
      </c>
      <c r="G52" s="26" t="str">
        <f aca="false">IF(OR(NOT(ISNUMBER(D52)),NOT(ISNUMBER(E52))),"-",IF(E52&gt;D52,"▲",IF(E52&lt;D52,"▼","—")))</f>
        <v>—</v>
      </c>
    </row>
    <row r="53" customFormat="false" ht="15" hidden="false" customHeight="false" outlineLevel="0" collapsed="false">
      <c r="A53" s="26" t="n">
        <v>19</v>
      </c>
      <c r="B53" s="27" t="str">
        <f aca="false">HISTORICAL!B22</f>
        <v>ITSEC ASIA</v>
      </c>
      <c r="C53" s="27" t="str">
        <f aca="false">HISTORICAL!C22</f>
        <v>PENETRATION TEST</v>
      </c>
      <c r="D53" s="28" t="n">
        <f aca="false">IF(HISTORICAL!L22="N/A","-",HISTORICAL!L22)</f>
        <v>3</v>
      </c>
      <c r="E53" s="28" t="n">
        <f aca="false">IF(HISTORICAL!M22="N/A","-",HISTORICAL!M22)</f>
        <v>3</v>
      </c>
      <c r="F53" s="26" t="str">
        <f aca="false">HISTORICAL!N22</f>
        <v>Meet Expectation</v>
      </c>
      <c r="G53" s="26" t="str">
        <f aca="false">IF(OR(NOT(ISNUMBER(D53)),NOT(ISNUMBER(E53))),"-",IF(E53&gt;D53,"▲",IF(E53&lt;D53,"▼","—")))</f>
        <v>—</v>
      </c>
    </row>
    <row r="54" customFormat="false" ht="15" hidden="false" customHeight="false" outlineLevel="0" collapsed="false">
      <c r="A54" s="26" t="n">
        <v>20</v>
      </c>
      <c r="B54" s="27" t="str">
        <f aca="false">HISTORICAL!B23</f>
        <v>Karyaputra Suryagemilang</v>
      </c>
      <c r="C54" s="27" t="str">
        <f aca="false">HISTORICAL!C23</f>
        <v>Purecloud Decommisioning</v>
      </c>
      <c r="D54" s="28" t="str">
        <f aca="false">IF(HISTORICAL!L23="N/A","-",HISTORICAL!L23)</f>
        <v>-</v>
      </c>
      <c r="E54" s="28" t="n">
        <f aca="false">IF(HISTORICAL!M23="N/A","-",HISTORICAL!M23)</f>
        <v>3.44583333333333</v>
      </c>
      <c r="F54" s="26" t="str">
        <f aca="false">HISTORICAL!N23</f>
        <v>Meet Expectation</v>
      </c>
      <c r="G54" s="26" t="str">
        <f aca="false">IF(OR(NOT(ISNUMBER(D54)),NOT(ISNUMBER(E54))),"-",IF(E54&gt;D54,"▲",IF(E54&lt;D54,"▼","—")))</f>
        <v>-</v>
      </c>
    </row>
    <row r="55" customFormat="false" ht="15" hidden="false" customHeight="false" outlineLevel="0" collapsed="false">
      <c r="A55" s="26" t="n">
        <v>21</v>
      </c>
      <c r="B55" s="27" t="str">
        <f aca="false">HISTORICAL!B24</f>
        <v>Mitra Integrasi Informatika</v>
      </c>
      <c r="C55" s="27" t="str">
        <f aca="false">HISTORICAL!C24</f>
        <v>Purecloud Decommisioning</v>
      </c>
      <c r="D55" s="28" t="str">
        <f aca="false">IF(HISTORICAL!L24="N/A","-",HISTORICAL!L24)</f>
        <v>-</v>
      </c>
      <c r="E55" s="28" t="n">
        <f aca="false">IF(HISTORICAL!M24="N/A","-",HISTORICAL!M24)</f>
        <v>3.88333333333333</v>
      </c>
      <c r="F55" s="26" t="str">
        <f aca="false">HISTORICAL!N24</f>
        <v>Meet Expectation</v>
      </c>
      <c r="G55" s="26" t="str">
        <f aca="false">IF(OR(NOT(ISNUMBER(D55)),NOT(ISNUMBER(E55))),"-",IF(E55&gt;D55,"▲",IF(E55&lt;D55,"▼","—")))</f>
        <v>-</v>
      </c>
    </row>
    <row r="56" customFormat="false" ht="15" hidden="false" customHeight="false" outlineLevel="0" collapsed="false">
      <c r="A56" s="26" t="n">
        <v>22</v>
      </c>
      <c r="B56" s="27" t="str">
        <f aca="false">HISTORICAL!B25</f>
        <v>ESHAEL Indonesia</v>
      </c>
      <c r="C56" s="27" t="str">
        <f aca="false">HISTORICAL!C25</f>
        <v>Talent Assesment</v>
      </c>
      <c r="D56" s="28" t="str">
        <f aca="false">IF(HISTORICAL!L25="N/A","-",HISTORICAL!L25)</f>
        <v>-</v>
      </c>
      <c r="E56" s="28" t="n">
        <f aca="false">IF(HISTORICAL!M25="N/A","-",HISTORICAL!M25)</f>
        <v>4.60833333333333</v>
      </c>
      <c r="F56" s="26" t="str">
        <f aca="false">HISTORICAL!N25</f>
        <v>Exceed Expectation</v>
      </c>
      <c r="G56" s="26" t="str">
        <f aca="false">IF(OR(NOT(ISNUMBER(D56)),NOT(ISNUMBER(E56))),"-",IF(E56&gt;D56,"▲",IF(E56&lt;D56,"▼","—")))</f>
        <v>-</v>
      </c>
    </row>
  </sheetData>
  <mergeCells count="9">
    <mergeCell ref="A1:H1"/>
    <mergeCell ref="A3:B3"/>
    <mergeCell ref="C3:F3"/>
    <mergeCell ref="A4:F4"/>
    <mergeCell ref="A10:H10"/>
    <mergeCell ref="A28:H28"/>
    <mergeCell ref="B29:H29"/>
    <mergeCell ref="B30:H30"/>
    <mergeCell ref="A33:H33"/>
  </mergeCells>
  <conditionalFormatting sqref="E7">
    <cfRule type="cellIs" priority="2" operator="equal" aboveAverage="0" equalAverage="0" bottom="0" percent="0" rank="0" text="" dxfId="0">
      <formula>"Below Expectation"</formula>
    </cfRule>
    <cfRule type="cellIs" priority="3" operator="equal" aboveAverage="0" equalAverage="0" bottom="0" percent="0" rank="0" text="" dxfId="1">
      <formula>"Unsatisfactory"</formula>
    </cfRule>
    <cfRule type="cellIs" priority="4" operator="equal" aboveAverage="0" equalAverage="0" bottom="0" percent="0" rank="0" text="" dxfId="2">
      <formula>"Meet Expectation"</formula>
    </cfRule>
    <cfRule type="cellIs" priority="5" operator="equal" aboveAverage="0" equalAverage="0" bottom="0" percent="0" rank="0" text="" dxfId="3">
      <formula>"Exceed Expectation"</formula>
    </cfRule>
    <cfRule type="cellIs" priority="6" operator="equal" aboveAverage="0" equalAverage="0" bottom="0" percent="0" rank="0" text="" dxfId="4">
      <formula>"Exceptional"</formula>
    </cfRule>
    <cfRule type="cellIs" priority="7" operator="equal" aboveAverage="0" equalAverage="0" bottom="0" percent="0" rank="0" text="" dxfId="5">
      <formula>"N/A"</formula>
    </cfRule>
  </conditionalFormatting>
  <conditionalFormatting sqref="F35:F56">
    <cfRule type="cellIs" priority="8" operator="equal" aboveAverage="0" equalAverage="0" bottom="0" percent="0" rank="0" text="" dxfId="0">
      <formula>"Below Expectation"</formula>
    </cfRule>
    <cfRule type="cellIs" priority="9" operator="equal" aboveAverage="0" equalAverage="0" bottom="0" percent="0" rank="0" text="" dxfId="1">
      <formula>"Unsatisfactory"</formula>
    </cfRule>
    <cfRule type="cellIs" priority="10" operator="equal" aboveAverage="0" equalAverage="0" bottom="0" percent="0" rank="0" text="" dxfId="2">
      <formula>"Meet Expectation"</formula>
    </cfRule>
    <cfRule type="cellIs" priority="11" operator="equal" aboveAverage="0" equalAverage="0" bottom="0" percent="0" rank="0" text="" dxfId="3">
      <formula>"Exceed Expectation"</formula>
    </cfRule>
    <cfRule type="cellIs" priority="12" operator="equal" aboveAverage="0" equalAverage="0" bottom="0" percent="0" rank="0" text="" dxfId="4">
      <formula>"Exceptional"</formula>
    </cfRule>
    <cfRule type="cellIs" priority="13" operator="equal" aboveAverage="0" equalAverage="0" bottom="0" percent="0" rank="0" text="" dxfId="5">
      <formula>"N/A"</formula>
    </cfRule>
  </conditionalFormatting>
  <dataValidations count="1">
    <dataValidation allowBlank="true" error="Pilih dari daftar vendor yang tersedia" errorStyle="stop" operator="between" prompt="Pilih vendor untuk melihat detail performance review" showDropDown="false" showErrorMessage="false" showInputMessage="false" sqref="C3" type="list">
      <formula1>HISTORICAL!$R$4:$R$25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R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32"/>
    <col collapsed="false" customWidth="true" hidden="false" outlineLevel="0" max="13" min="4" style="0" width="9"/>
    <col collapsed="false" customWidth="true" hidden="false" outlineLevel="0" max="14" min="14" style="0" width="18"/>
    <col collapsed="false" customWidth="true" hidden="false" outlineLevel="0" max="15" min="15" style="0" width="22"/>
    <col collapsed="false" customWidth="true" hidden="false" outlineLevel="0" max="17" min="16" style="0" width="40"/>
    <col collapsed="false" customWidth="true" hidden="false" outlineLevel="0" max="18" min="18" style="0" width="45"/>
  </cols>
  <sheetData>
    <row r="1" customFormat="false" ht="16.15" hidden="false" customHeight="false" outlineLevel="0" collapsed="false">
      <c r="A1" s="29" t="s">
        <v>81</v>
      </c>
      <c r="B1" s="29"/>
      <c r="C1" s="29"/>
      <c r="D1" s="29"/>
      <c r="E1" s="29"/>
      <c r="F1" s="29"/>
      <c r="G1" s="29"/>
      <c r="H1" s="29"/>
      <c r="I1" s="29"/>
      <c r="J1" s="29"/>
      <c r="K1" s="29"/>
      <c r="L1" s="29"/>
      <c r="M1" s="29"/>
      <c r="N1" s="29"/>
    </row>
    <row r="3" customFormat="false" ht="30" hidden="false" customHeight="true" outlineLevel="0" collapsed="false">
      <c r="A3" s="30" t="s">
        <v>78</v>
      </c>
      <c r="B3" s="30" t="s">
        <v>55</v>
      </c>
      <c r="C3" s="30" t="s">
        <v>82</v>
      </c>
      <c r="D3" s="30" t="s">
        <v>63</v>
      </c>
      <c r="E3" s="30" t="s">
        <v>64</v>
      </c>
      <c r="F3" s="30" t="s">
        <v>65</v>
      </c>
      <c r="G3" s="30" t="s">
        <v>66</v>
      </c>
      <c r="H3" s="30" t="s">
        <v>67</v>
      </c>
      <c r="I3" s="30" t="s">
        <v>68</v>
      </c>
      <c r="J3" s="30" t="s">
        <v>69</v>
      </c>
      <c r="K3" s="30" t="s">
        <v>70</v>
      </c>
      <c r="L3" s="30" t="s">
        <v>71</v>
      </c>
      <c r="M3" s="30" t="s">
        <v>72</v>
      </c>
      <c r="N3" s="30" t="s">
        <v>79</v>
      </c>
      <c r="O3" s="30" t="s">
        <v>83</v>
      </c>
      <c r="P3" s="30" t="s">
        <v>84</v>
      </c>
      <c r="Q3" s="30" t="s">
        <v>85</v>
      </c>
      <c r="R3" s="30" t="s">
        <v>86</v>
      </c>
    </row>
    <row r="4" customFormat="false" ht="102.2" hidden="false" customHeight="false" outlineLevel="0" collapsed="false">
      <c r="A4" s="31" t="n">
        <v>1</v>
      </c>
      <c r="B4" s="32" t="s">
        <v>87</v>
      </c>
      <c r="C4" s="32" t="s">
        <v>88</v>
      </c>
      <c r="D4" s="33" t="n">
        <v>3</v>
      </c>
      <c r="E4" s="33" t="n">
        <v>3</v>
      </c>
      <c r="F4" s="33" t="n">
        <v>2.95</v>
      </c>
      <c r="G4" s="33" t="n">
        <v>3</v>
      </c>
      <c r="H4" s="33" t="n">
        <v>2.345</v>
      </c>
      <c r="I4" s="33" t="n">
        <v>1.99</v>
      </c>
      <c r="J4" s="33" t="n">
        <v>2.72</v>
      </c>
      <c r="K4" s="33" t="n">
        <v>2.9825</v>
      </c>
      <c r="L4" s="33" t="n">
        <f aca="false">RESULT!E9</f>
        <v>3.31842105263158</v>
      </c>
      <c r="M4" s="33" t="n">
        <f aca="false">IFERROR(VALUE('RESULT Q2'!E9),"N/A")</f>
        <v>3.43947368421053</v>
      </c>
      <c r="N4" s="31" t="str">
        <f aca="false">IF(ISNUMBER(M4),IF(M4&gt;4.99,"Exceptional",IF(M4&gt;3.99,"Exceed Expectation",IF(M4&gt;=2.99,"Meet Expectation",IF(M4&gt;1.9,"Below Expectation","Unsatisfactory")))),IF(ISNUMBER(L4),IF(L4&gt;4.99,"Exceptional",IF(L4&gt;3.99,"Exceed Expectation",IF(L4&gt;=2.99,"Meet Expectation",IF(L4&gt;1.9,"Below Expectation","Unsatisfactory")))),"N/A"))</f>
        <v>Meet Expectation</v>
      </c>
      <c r="O4" s="4" t="str">
        <f aca="false">IFERROR('RESULT Q2'!D9,"-")</f>
        <v>Nuril HUDHA</v>
      </c>
      <c r="P4" s="4" t="str">
        <f aca="false">IFERROR(RESULT!G9,"-")</f>
        <v>The performance is getting better, please keep improve the performance.</v>
      </c>
      <c r="Q4" s="4" t="str">
        <f aca="false">IFERROR('RESULT Q2'!G9,"-")</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R4" s="4" t="str">
        <f aca="false">B4&amp;" - "&amp;C4</f>
        <v>INDOSAT - LAYANAN PBX BERBASISKAN CLOUD DENGAN TEKNOLOGI SIP TRUNK</v>
      </c>
    </row>
    <row r="5" customFormat="false" ht="35.05" hidden="false" customHeight="false" outlineLevel="0" collapsed="false">
      <c r="A5" s="31" t="n">
        <v>2</v>
      </c>
      <c r="B5" s="32" t="s">
        <v>89</v>
      </c>
      <c r="C5" s="32" t="s">
        <v>90</v>
      </c>
      <c r="D5" s="33" t="n">
        <v>3.78</v>
      </c>
      <c r="E5" s="33" t="n">
        <v>4.21</v>
      </c>
      <c r="F5" s="33" t="n">
        <v>3</v>
      </c>
      <c r="G5" s="33" t="n">
        <v>3</v>
      </c>
      <c r="H5" s="33" t="n">
        <v>3</v>
      </c>
      <c r="I5" s="33" t="n">
        <v>3</v>
      </c>
      <c r="J5" s="33" t="n">
        <v>3</v>
      </c>
      <c r="K5" s="33" t="n">
        <v>3.08181818181818</v>
      </c>
      <c r="L5" s="33" t="n">
        <f aca="false">RESULT!E6</f>
        <v>3</v>
      </c>
      <c r="M5" s="33" t="n">
        <f aca="false">IFERROR(VALUE('RESULT Q2'!E6),"N/A")</f>
        <v>3</v>
      </c>
      <c r="N5" s="31" t="str">
        <f aca="false">IF(ISNUMBER(M5),IF(M5&gt;4.99,"Exceptional",IF(M5&gt;3.99,"Exceed Expectation",IF(M5&gt;=2.99,"Meet Expectation",IF(M5&gt;1.9,"Below Expectation","Unsatisfactory")))),IF(ISNUMBER(L5),IF(L5&gt;4.99,"Exceptional",IF(L5&gt;3.99,"Exceed Expectation",IF(L5&gt;=2.99,"Meet Expectation",IF(L5&gt;1.9,"Below Expectation","Unsatisfactory")))),"N/A"))</f>
        <v>Meet Expectation</v>
      </c>
      <c r="O5" s="4" t="str">
        <f aca="false">IFERROR('RESULT Q2'!D6,"-")</f>
        <v>Fifin SARINURLITA</v>
      </c>
      <c r="P5" s="4" t="str">
        <f aca="false">IFERROR(RESULT!G6,"-")</f>
        <v>Jatis has provided good service throughout this year</v>
      </c>
      <c r="Q5" s="4" t="str">
        <f aca="false">IFERROR('RESULT Q2'!G6,"-")</f>
        <v>So far, Jatis Vendor has provided good service. Their response time is fast, and they are able to provide effective solutions whenever issues arise</v>
      </c>
      <c r="R5" s="4" t="str">
        <f aca="false">B5&amp;" - "&amp;C5</f>
        <v>INFORMASI TEKNOLOGI INDONESIA - PENYEDIAAN JASA SMS BROADCAST DAN JASA SMS PULL; CONNECTIVITY PRIMARY LINK</v>
      </c>
    </row>
    <row r="6" customFormat="false" ht="102.2" hidden="false" customHeight="false" outlineLevel="0" collapsed="false">
      <c r="A6" s="31" t="n">
        <v>3</v>
      </c>
      <c r="B6" s="32" t="s">
        <v>91</v>
      </c>
      <c r="C6" s="32" t="s">
        <v>92</v>
      </c>
      <c r="D6" s="33" t="n">
        <v>3</v>
      </c>
      <c r="E6" s="33" t="n">
        <v>3</v>
      </c>
      <c r="F6" s="33" t="n">
        <v>3.96</v>
      </c>
      <c r="G6" s="33" t="n">
        <v>3.65</v>
      </c>
      <c r="H6" s="33" t="n">
        <v>3</v>
      </c>
      <c r="I6" s="33" t="n">
        <v>4.41666666666667</v>
      </c>
      <c r="J6" s="33" t="n">
        <v>4.35384615384615</v>
      </c>
      <c r="K6" s="33" t="n">
        <v>4.27307692307692</v>
      </c>
      <c r="L6" s="33" t="n">
        <f aca="false">RESULT!E13</f>
        <v>4.82948717948718</v>
      </c>
      <c r="M6" s="33" t="n">
        <f aca="false">IFERROR(VALUE('RESULT Q2'!E13),"N/A")</f>
        <v>4.74871794871795</v>
      </c>
      <c r="N6" s="31" t="str">
        <f aca="false">IF(ISNUMBER(M6),IF(M6&gt;4.99,"Exceptional",IF(M6&gt;3.99,"Exceed Expectation",IF(M6&gt;=2.99,"Meet Expectation",IF(M6&gt;1.9,"Below Expectation","Unsatisfactory")))),IF(ISNUMBER(L6),IF(L6&gt;4.99,"Exceptional",IF(L6&gt;3.99,"Exceed Expectation",IF(L6&gt;=2.99,"Meet Expectation",IF(L6&gt;1.9,"Below Expectation","Unsatisfactory")))),"N/A"))</f>
        <v>Exceed Expectation</v>
      </c>
      <c r="O6" s="4" t="str">
        <f aca="false">IFERROR('RESULT Q2'!D13,"-")</f>
        <v>Chandra Nugraha PUTRA</v>
      </c>
      <c r="P6" s="4" t="str">
        <f aca="false">IFERROR(RESULT!G13,"-")</f>
        <v>verall, the level of support has been satisfactory. The improvements carried out were highly effective, and several demands were consistent with the initial assessment and expectations.</v>
      </c>
      <c r="Q6" s="4" t="str">
        <f aca="false">IFERROR('RESULT Q2'!G13,"-")</f>
        <v>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v>
      </c>
      <c r="R6" s="4" t="str">
        <f aca="false">B6&amp;" - "&amp;C6</f>
        <v>MITRA INTEGRASI INFORMATIKA - SFDC MAINTENANCE</v>
      </c>
    </row>
    <row r="7" customFormat="false" ht="23.85" hidden="false" customHeight="false" outlineLevel="0" collapsed="false">
      <c r="A7" s="31" t="n">
        <v>4</v>
      </c>
      <c r="B7" s="32" t="s">
        <v>93</v>
      </c>
      <c r="C7" s="32" t="s">
        <v>94</v>
      </c>
      <c r="D7" s="33" t="n">
        <v>3</v>
      </c>
      <c r="E7" s="33" t="n">
        <v>4</v>
      </c>
      <c r="F7" s="33" t="n">
        <v>4</v>
      </c>
      <c r="G7" s="33" t="n">
        <v>3.65</v>
      </c>
      <c r="H7" s="33" t="n">
        <v>3</v>
      </c>
      <c r="I7" s="33" t="n">
        <v>3</v>
      </c>
      <c r="J7" s="33" t="n">
        <v>3.9125</v>
      </c>
      <c r="K7" s="33" t="n">
        <v>3.06931818181818</v>
      </c>
      <c r="L7" s="33" t="n">
        <f aca="false">RESULT!E8</f>
        <v>3.03181818181818</v>
      </c>
      <c r="M7" s="33" t="n">
        <f aca="false">IFERROR(VALUE('RESULT Q2'!E8),"N/A")</f>
        <v>3</v>
      </c>
      <c r="N7" s="31" t="str">
        <f aca="false">IF(ISNUMBER(M7),IF(M7&gt;4.99,"Exceptional",IF(M7&gt;3.99,"Exceed Expectation",IF(M7&gt;=2.99,"Meet Expectation",IF(M7&gt;1.9,"Below Expectation","Unsatisfactory")))),IF(ISNUMBER(L7),IF(L7&gt;4.99,"Exceptional",IF(L7&gt;3.99,"Exceed Expectation",IF(L7&gt;=2.99,"Meet Expectation",IF(L7&gt;1.9,"Below Expectation","Unsatisfactory")))),"N/A"))</f>
        <v>Meet Expectation</v>
      </c>
      <c r="O7" s="4" t="str">
        <f aca="false">IFERROR('RESULT Q2'!D8,"-")</f>
        <v>Ibnu KUMALA</v>
      </c>
      <c r="P7" s="4" t="str">
        <f aca="false">IFERROR(RESULT!G8,"-")</f>
        <v>impprove innovation dan simplyfy process</v>
      </c>
      <c r="Q7" s="4" t="str">
        <f aca="false">IFERROR('RESULT Q2'!G8,"-")</f>
        <v>..</v>
      </c>
      <c r="R7" s="4" t="str">
        <f aca="false">B7&amp;" - "&amp;C7</f>
        <v>MULTIFILING MITRA INDONESIA - RECORD MANAGEMENT SERVICE</v>
      </c>
    </row>
    <row r="8" customFormat="false" ht="35.05" hidden="false" customHeight="false" outlineLevel="0" collapsed="false">
      <c r="A8" s="31" t="n">
        <v>5</v>
      </c>
      <c r="B8" s="32" t="s">
        <v>95</v>
      </c>
      <c r="C8" s="32" t="s">
        <v>96</v>
      </c>
      <c r="D8" s="33" t="n">
        <v>4.9</v>
      </c>
      <c r="E8" s="33" t="n">
        <v>4.73</v>
      </c>
      <c r="F8" s="33" t="n">
        <v>3.38</v>
      </c>
      <c r="G8" s="33" t="n">
        <v>3</v>
      </c>
      <c r="H8" s="33" t="n">
        <v>3.975</v>
      </c>
      <c r="I8" s="33" t="n">
        <v>3.675</v>
      </c>
      <c r="J8" s="33" t="n">
        <v>3.75</v>
      </c>
      <c r="K8" s="33" t="n">
        <v>4.2</v>
      </c>
      <c r="L8" s="33" t="n">
        <f aca="false">RESULT!E10</f>
        <v>4</v>
      </c>
      <c r="M8" s="33" t="n">
        <f aca="false">IFERROR(VALUE('RESULT Q2'!E10),"N/A")</f>
        <v>4.3</v>
      </c>
      <c r="N8" s="31" t="str">
        <f aca="false">IF(ISNUMBER(M8),IF(M8&gt;4.99,"Exceptional",IF(M8&gt;3.99,"Exceed Expectation",IF(M8&gt;=2.99,"Meet Expectation",IF(M8&gt;1.9,"Below Expectation","Unsatisfactory")))),IF(ISNUMBER(L8),IF(L8&gt;4.99,"Exceptional",IF(L8&gt;3.99,"Exceed Expectation",IF(L8&gt;=2.99,"Meet Expectation",IF(L8&gt;1.9,"Below Expectation","Unsatisfactory")))),"N/A"))</f>
        <v>Exceed Expectation</v>
      </c>
      <c r="O8" s="4" t="str">
        <f aca="false">IFERROR('RESULT Q2'!D10,"-")</f>
        <v>Raninta MAHARDI</v>
      </c>
      <c r="P8" s="4" t="str">
        <f aca="false">IFERROR(RESULT!G10,"-")</f>
        <v>Performance is Good</v>
      </c>
      <c r="Q8" s="4" t="str">
        <f aca="false">IFERROR('RESULT Q2'!G10,"-")</f>
        <v>Ciptadra selalu fast response ketika ada incident yang terjadi di DMTM</v>
      </c>
      <c r="R8" s="4" t="str">
        <f aca="false">B8&amp;" - "&amp;C8</f>
        <v>CIPTADRA SOFTINDO - PEMELIHARAAN PERANGKAT LUNAK AXITS  DAN PERANGKAT LUNAK DMTM</v>
      </c>
    </row>
    <row r="9" customFormat="false" ht="68.65" hidden="false" customHeight="false" outlineLevel="0" collapsed="false">
      <c r="A9" s="31" t="n">
        <v>6</v>
      </c>
      <c r="B9" s="32" t="s">
        <v>97</v>
      </c>
      <c r="C9" s="32" t="s">
        <v>98</v>
      </c>
      <c r="D9" s="33" t="n">
        <v>3</v>
      </c>
      <c r="E9" s="33" t="n">
        <v>3</v>
      </c>
      <c r="F9" s="33" t="n">
        <v>3.09</v>
      </c>
      <c r="G9" s="33" t="n">
        <v>3</v>
      </c>
      <c r="H9" s="33" t="n">
        <v>2.121875</v>
      </c>
      <c r="I9" s="33" t="n">
        <v>2.9890625</v>
      </c>
      <c r="J9" s="33" t="n">
        <v>3</v>
      </c>
      <c r="K9" s="33" t="n">
        <v>3.65</v>
      </c>
      <c r="L9" s="33" t="n">
        <f aca="false">RESULT!E12</f>
        <v>4</v>
      </c>
      <c r="M9" s="33" t="n">
        <f aca="false">IFERROR(VALUE('RESULT Q2'!E12),"N/A")</f>
        <v>4</v>
      </c>
      <c r="N9" s="31" t="str">
        <f aca="false">IF(ISNUMBER(M9),IF(M9&gt;4.99,"Exceptional",IF(M9&gt;3.99,"Exceed Expectation",IF(M9&gt;=2.99,"Meet Expectation",IF(M9&gt;1.9,"Below Expectation","Unsatisfactory")))),IF(ISNUMBER(L9),IF(L9&gt;4.99,"Exceptional",IF(L9&gt;3.99,"Exceed Expectation",IF(L9&gt;=2.99,"Meet Expectation",IF(L9&gt;1.9,"Below Expectation","Unsatisfactory")))),"N/A"))</f>
        <v>Exceed Expectation</v>
      </c>
      <c r="O9" s="4" t="str">
        <f aca="false">IFERROR('RESULT Q2'!D12,"-")</f>
        <v>Djoko DJOKO</v>
      </c>
      <c r="P9" s="4" t="str">
        <f aca="false">IFERROR(RESULT!G12,"-")</f>
        <v>continue performing thorough and frequent periodic checks to ensure that during service hours, there are no issues that could disrupt operations and resolve the remaining unresolved 401 issue
Berikan umpan balik Anda tentang BizChat</v>
      </c>
      <c r="Q9" s="4" t="str">
        <f aca="false">IFERROR('RESULT Q2'!G12,"-")</f>
        <v>Tetap up to date dan helpful</v>
      </c>
      <c r="R9" s="4" t="str">
        <f aca="false">B9&amp;" - "&amp;C9</f>
        <v>INMOTION INOVASI TEKNOLOGI - JASA APLIKASI CHATBOT DAN LIVE CHAT</v>
      </c>
    </row>
    <row r="10" customFormat="false" ht="158.2" hidden="false" customHeight="false" outlineLevel="0" collapsed="false">
      <c r="A10" s="31" t="n">
        <v>7</v>
      </c>
      <c r="B10" s="32" t="s">
        <v>99</v>
      </c>
      <c r="C10" s="32" t="s">
        <v>100</v>
      </c>
      <c r="D10" s="33" t="n">
        <v>3.75</v>
      </c>
      <c r="E10" s="33" t="n">
        <v>3.83</v>
      </c>
      <c r="F10" s="33" t="n">
        <v>2.74</v>
      </c>
      <c r="G10" s="33" t="n">
        <v>2.725</v>
      </c>
      <c r="H10" s="33" t="n">
        <v>2.86</v>
      </c>
      <c r="I10" s="33" t="n">
        <v>2.61666666666667</v>
      </c>
      <c r="J10" s="33" t="n">
        <v>2.5</v>
      </c>
      <c r="K10" s="33" t="n">
        <v>2.96111111111111</v>
      </c>
      <c r="L10" s="33" t="n">
        <f aca="false">RESULT!E7</f>
        <v>3</v>
      </c>
      <c r="M10" s="33" t="n">
        <f aca="false">IFERROR(VALUE('RESULT Q2'!E7),"N/A")</f>
        <v>3.23833333333333</v>
      </c>
      <c r="N10" s="31" t="str">
        <f aca="false">IF(ISNUMBER(M10),IF(M10&gt;4.99,"Exceptional",IF(M10&gt;3.99,"Exceed Expectation",IF(M10&gt;=2.99,"Meet Expectation",IF(M10&gt;1.9,"Below Expectation","Unsatisfactory")))),IF(ISNUMBER(L10),IF(L10&gt;4.99,"Exceptional",IF(L10&gt;3.99,"Exceed Expectation",IF(L10&gt;=2.99,"Meet Expectation",IF(L10&gt;1.9,"Below Expectation","Unsatisfactory")))),"N/A"))</f>
        <v>Meet Expectation</v>
      </c>
      <c r="O10" s="4" t="str">
        <f aca="false">IFERROR('RESULT Q2'!D7,"-")</f>
        <v>Fifin SARINURLITA, Novia Laras SANTI</v>
      </c>
      <c r="P10" s="4" t="str">
        <f aca="false">IFERROR(RESULT!G7,"-")</f>
        <v>SAP has provided excellent service throughout this year</v>
      </c>
      <c r="Q10" s="4" t="str">
        <f aca="false">IFERROR('RESULT Q2'!G7,"-")</f>
        <v>SAP has shown improvement in terms of reporting and provides a fast response whenever issues arise. | 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v>
      </c>
      <c r="R10" s="4" t="str">
        <f aca="false">B10&amp;" - "&amp;C10</f>
        <v>SATRIA ANTARAN PRIMA TBK - PENGIRIMAN POLIS DOKUMEN DAN PAKET DALAM NEGERI</v>
      </c>
    </row>
    <row r="11" customFormat="false" ht="46.25" hidden="false" customHeight="false" outlineLevel="0" collapsed="false">
      <c r="A11" s="31" t="n">
        <v>8</v>
      </c>
      <c r="B11" s="32" t="s">
        <v>99</v>
      </c>
      <c r="C11" s="32" t="s">
        <v>101</v>
      </c>
      <c r="D11" s="33"/>
      <c r="E11" s="33"/>
      <c r="F11" s="33"/>
      <c r="G11" s="33"/>
      <c r="H11" s="33" t="n">
        <v>3</v>
      </c>
      <c r="I11" s="33"/>
      <c r="J11" s="33" t="n">
        <v>3.9125</v>
      </c>
      <c r="K11" s="33" t="n">
        <v>3.05</v>
      </c>
      <c r="L11" s="33" t="n">
        <f aca="false">RESULT!E5</f>
        <v>3.40416666666667</v>
      </c>
      <c r="M11" s="33" t="n">
        <f aca="false">IFERROR(VALUE('RESULT Q2'!E5),"N/A")</f>
        <v>3.04375</v>
      </c>
      <c r="N11" s="31" t="str">
        <f aca="false">IF(ISNUMBER(M11),IF(M11&gt;4.99,"Exceptional",IF(M11&gt;3.99,"Exceed Expectation",IF(M11&gt;=2.99,"Meet Expectation",IF(M11&gt;1.9,"Below Expectation","Unsatisfactory")))),IF(ISNUMBER(L11),IF(L11&gt;4.99,"Exceptional",IF(L11&gt;3.99,"Exceed Expectation",IF(L11&gt;=2.99,"Meet Expectation",IF(L11&gt;1.9,"Below Expectation","Unsatisfactory")))),"N/A"))</f>
        <v>Meet Expectation</v>
      </c>
      <c r="O11" s="4" t="str">
        <f aca="false">IFERROR('RESULT Q2'!D5,"-")</f>
        <v>Ibnu KUMALA</v>
      </c>
      <c r="P11" s="4" t="str">
        <f aca="false">IFERROR(RESULT!G5,"-")</f>
        <v>Over all mailing ok, please improve coordinated with Headoffice team for reduce complain/misscomm (ex case overseas shipment )</v>
      </c>
      <c r="Q11" s="4" t="str">
        <f aca="false">IFERROR('RESULT Q2'!G5,"-")</f>
        <v>improve inisiatsis</v>
      </c>
      <c r="R11" s="4" t="str">
        <f aca="false">B11&amp;" - "&amp;C11</f>
        <v>SATRIA ANTARAN PRIMA TBK - MAILING ROOM</v>
      </c>
    </row>
    <row r="12" customFormat="false" ht="147" hidden="false" customHeight="false" outlineLevel="0" collapsed="false">
      <c r="A12" s="31" t="n">
        <v>9</v>
      </c>
      <c r="B12" s="32" t="s">
        <v>102</v>
      </c>
      <c r="C12" s="32" t="s">
        <v>103</v>
      </c>
      <c r="D12" s="33" t="n">
        <v>2.85</v>
      </c>
      <c r="E12" s="33" t="n">
        <v>3.28</v>
      </c>
      <c r="F12" s="33" t="n">
        <v>4</v>
      </c>
      <c r="G12" s="33" t="n">
        <v>3.3125</v>
      </c>
      <c r="H12" s="33" t="n">
        <v>3.74444444444444</v>
      </c>
      <c r="I12" s="33" t="n">
        <v>4</v>
      </c>
      <c r="J12" s="33" t="n">
        <v>3</v>
      </c>
      <c r="K12" s="33" t="n">
        <v>3.65</v>
      </c>
      <c r="L12" s="33" t="n">
        <f aca="false">RESULT!E11</f>
        <v>3.9</v>
      </c>
      <c r="M12" s="33" t="n">
        <f aca="false">IFERROR(VALUE('RESULT Q2'!E11),"N/A")</f>
        <v>2.94166666666667</v>
      </c>
      <c r="N12" s="31" t="str">
        <f aca="false">IF(ISNUMBER(M12),IF(M12&gt;4.99,"Exceptional",IF(M12&gt;3.99,"Exceed Expectation",IF(M12&gt;=2.99,"Meet Expectation",IF(M12&gt;1.9,"Below Expectation","Unsatisfactory")))),IF(ISNUMBER(L12),IF(L12&gt;4.99,"Exceptional",IF(L12&gt;3.99,"Exceed Expectation",IF(L12&gt;=2.99,"Meet Expectation",IF(L12&gt;1.9,"Below Expectation","Unsatisfactory")))),"N/A"))</f>
        <v>Below Expectation</v>
      </c>
      <c r="O12" s="4" t="str">
        <f aca="false">IFERROR('RESULT Q2'!D11,"-")</f>
        <v>Bella Friska DEPARI</v>
      </c>
      <c r="P12" s="4" t="str">
        <f aca="false">IFERROR(RESULT!G11,"-")</f>
        <v>Harganya buat next contrac please murahin ya</v>
      </c>
      <c r="Q12" s="4" t="str">
        <f aca="false">IFERROR('RESULT Q2'!G11,"-")</f>
        <v>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v>
      </c>
      <c r="R12" s="4" t="str">
        <f aca="false">B12&amp;" - "&amp;C12</f>
        <v>TARGET SUKSES SINERGI - PENGIRIMAN EMAIL MARKETING AUTOMATION</v>
      </c>
    </row>
    <row r="13" customFormat="false" ht="23.85" hidden="false" customHeight="false" outlineLevel="0" collapsed="false">
      <c r="A13" s="31" t="n">
        <v>10</v>
      </c>
      <c r="B13" s="32" t="s">
        <v>104</v>
      </c>
      <c r="C13" s="32" t="s">
        <v>105</v>
      </c>
      <c r="D13" s="33" t="n">
        <v>3</v>
      </c>
      <c r="E13" s="33" t="n">
        <v>3.61</v>
      </c>
      <c r="F13" s="33" t="n">
        <v>3.4</v>
      </c>
      <c r="G13" s="33" t="n">
        <v>3.0875</v>
      </c>
      <c r="H13" s="33" t="n">
        <v>3.03888888888889</v>
      </c>
      <c r="I13" s="33" t="n">
        <v>3.54444444444444</v>
      </c>
      <c r="J13" s="33" t="n">
        <v>3</v>
      </c>
      <c r="K13" s="33" t="n">
        <v>3.46875</v>
      </c>
      <c r="L13" s="33" t="s">
        <v>106</v>
      </c>
      <c r="M13" s="33" t="n">
        <f aca="false">IFERROR(VALUE('RESULT Q2'!E19),"N/A")</f>
        <v>3.0875</v>
      </c>
      <c r="N13" s="31" t="str">
        <f aca="false">IF(ISNUMBER(M13),IF(M13&gt;4.99,"Exceptional",IF(M13&gt;3.99,"Exceed Expectation",IF(M13&gt;=2.99,"Meet Expectation",IF(M13&gt;1.9,"Below Expectation","Unsatisfactory")))),IF(ISNUMBER(L13),IF(L13&gt;4.99,"Exceptional",IF(L13&gt;3.99,"Exceed Expectation",IF(L13&gt;=2.99,"Meet Expectation",IF(L13&gt;1.9,"Below Expectation","Unsatisfactory")))),"N/A"))</f>
        <v>Meet Expectation</v>
      </c>
      <c r="O13" s="4" t="str">
        <f aca="false">IFERROR('RESULT Q2'!D19,"-")</f>
        <v>Ravika OKTAVIANI</v>
      </c>
      <c r="P13" s="4" t="s">
        <v>107</v>
      </c>
      <c r="Q13" s="4" t="str">
        <f aca="false">IFERROR('RESULT Q2'!G19,"-")</f>
        <v>To ensure a smooth process, we need to move faster and maintain effective communication</v>
      </c>
      <c r="R13" s="4" t="str">
        <f aca="false">B13&amp;" - "&amp;C13</f>
        <v>WIZ TECHNOLOGY INDONESIA - VOICE BOT REMINDER CALL</v>
      </c>
    </row>
    <row r="14" customFormat="false" ht="57.45" hidden="false" customHeight="false" outlineLevel="0" collapsed="false">
      <c r="A14" s="31" t="n">
        <v>11</v>
      </c>
      <c r="B14" s="32" t="s">
        <v>108</v>
      </c>
      <c r="C14" s="32" t="s">
        <v>109</v>
      </c>
      <c r="D14" s="33" t="n">
        <v>3.46</v>
      </c>
      <c r="E14" s="33" t="n">
        <v>3.46</v>
      </c>
      <c r="F14" s="33" t="n">
        <v>3.86</v>
      </c>
      <c r="G14" s="33" t="n">
        <v>3</v>
      </c>
      <c r="H14" s="33" t="n">
        <v>3.18076923076923</v>
      </c>
      <c r="I14" s="33" t="n">
        <v>2.93717948717949</v>
      </c>
      <c r="J14" s="33" t="n">
        <v>2.42727272727273</v>
      </c>
      <c r="K14" s="33" t="n">
        <v>3.51818181818182</v>
      </c>
      <c r="L14" s="33" t="n">
        <f aca="false">RESULT!E19</f>
        <v>3.03181818181818</v>
      </c>
      <c r="M14" s="33" t="n">
        <f aca="false">IFERROR(VALUE('RESULT Q2'!E18),"N/A")</f>
        <v>3.53939393939394</v>
      </c>
      <c r="N14" s="31" t="str">
        <f aca="false">IF(ISNUMBER(M14),IF(M14&gt;4.99,"Exceptional",IF(M14&gt;3.99,"Exceed Expectation",IF(M14&gt;=2.99,"Meet Expectation",IF(M14&gt;1.9,"Below Expectation","Unsatisfactory")))),IF(ISNUMBER(L14),IF(L14&gt;4.99,"Exceptional",IF(L14&gt;3.99,"Exceed Expectation",IF(L14&gt;=2.99,"Meet Expectation",IF(L14&gt;1.9,"Below Expectation","Unsatisfactory")))),"N/A"))</f>
        <v>Meet Expectation</v>
      </c>
      <c r="O14" s="4" t="str">
        <f aca="false">IFERROR('RESULT Q2'!D18,"-")</f>
        <v>Nuril HUDHA</v>
      </c>
      <c r="P14" s="4" t="str">
        <f aca="false">IFERROR(RESULT!G19,"-")</f>
        <v>Diharapkan untuk tim project yang diassign apabila CR sudah di signoff agar availibility dari resource ready</v>
      </c>
      <c r="Q14" s="4" t="str">
        <f aca="false">IFERROR('RESULT Q2'!G18,"-")</f>
        <v>1. For AI Implementation, KPSG need to improve the delivery time, quality and PIC availability and backup PIC support
2. Another enhancement need to speed up with dedicated team </v>
      </c>
      <c r="R14" s="4" t="str">
        <f aca="false">B14&amp;" - "&amp;C14</f>
        <v>KARYAPUTRA SURYAGEMILANG - TELEMARKETING REVAMP PROJECT</v>
      </c>
    </row>
    <row r="15" customFormat="false" ht="23.85" hidden="false" customHeight="false" outlineLevel="0" collapsed="false">
      <c r="A15" s="31" t="n">
        <v>12</v>
      </c>
      <c r="B15" s="32" t="s">
        <v>110</v>
      </c>
      <c r="C15" s="32" t="s">
        <v>111</v>
      </c>
      <c r="D15" s="33"/>
      <c r="E15" s="33" t="n">
        <v>3</v>
      </c>
      <c r="F15" s="33" t="n">
        <v>3</v>
      </c>
      <c r="G15" s="33" t="n">
        <v>3.35</v>
      </c>
      <c r="H15" s="33" t="n">
        <v>2.84090909090909</v>
      </c>
      <c r="I15" s="33" t="n">
        <v>2.77272727272727</v>
      </c>
      <c r="J15" s="33" t="n">
        <v>2</v>
      </c>
      <c r="K15" s="33" t="n">
        <v>2.96111111111111</v>
      </c>
      <c r="L15" s="33" t="n">
        <f aca="false">RESULT!E16</f>
        <v>2.96111111111111</v>
      </c>
      <c r="M15" s="33" t="str">
        <f aca="false">IFERROR(VALUE('RESULT Q2'!E23),"N/A")</f>
        <v>N/A</v>
      </c>
      <c r="N15" s="31" t="str">
        <f aca="false">IF(ISNUMBER(M15),IF(M15&gt;4.99,"Exceptional",IF(M15&gt;3.99,"Exceed Expectation",IF(M15&gt;=2.99,"Meet Expectation",IF(M15&gt;1.9,"Below Expectation","Unsatisfactory")))),IF(ISNUMBER(L15),IF(L15&gt;4.99,"Exceptional",IF(L15&gt;3.99,"Exceed Expectation",IF(L15&gt;=2.99,"Meet Expectation",IF(L15&gt;1.9,"Below Expectation","Unsatisfactory")))),"N/A"))</f>
        <v>Below Expectation</v>
      </c>
      <c r="O15" s="4" t="str">
        <f aca="false">IFERROR('RESULT Q2'!D23,"-")</f>
        <v>ibnu.kumala@axa-mandiri.co.id</v>
      </c>
      <c r="P15" s="4" t="str">
        <f aca="false">IFERROR(RESULT!G16,"-")</f>
        <v>Improve quality service, specially for leakage, </v>
      </c>
      <c r="Q15" s="4" t="str">
        <f aca="false">IFERROR('RESULT Q2'!G23,"-")</f>
        <v>-</v>
      </c>
      <c r="R15" s="4" t="str">
        <f aca="false">B15&amp;" - "&amp;C15</f>
        <v>ARAH SEJAHTERA ABADI - PERJANJIAN SEWA MENYEWA</v>
      </c>
    </row>
    <row r="16" customFormat="false" ht="113.4" hidden="false" customHeight="false" outlineLevel="0" collapsed="false">
      <c r="A16" s="31" t="n">
        <v>13</v>
      </c>
      <c r="B16" s="32" t="s">
        <v>112</v>
      </c>
      <c r="C16" s="32" t="s">
        <v>113</v>
      </c>
      <c r="D16" s="33"/>
      <c r="E16" s="33"/>
      <c r="F16" s="33"/>
      <c r="G16" s="33" t="n">
        <v>3.23333333333333</v>
      </c>
      <c r="H16" s="33" t="n">
        <v>2.97083333333333</v>
      </c>
      <c r="I16" s="33" t="n">
        <v>2.88333333333333</v>
      </c>
      <c r="J16" s="33" t="n">
        <v>3.1</v>
      </c>
      <c r="K16" s="33" t="n">
        <v>3.11666666666667</v>
      </c>
      <c r="L16" s="33" t="n">
        <f aca="false">RESULT!E17</f>
        <v>3.16363636363636</v>
      </c>
      <c r="M16" s="33" t="n">
        <f aca="false">IFERROR(VALUE('RESULT Q2'!E16),"N/A")</f>
        <v>4.06363636363636</v>
      </c>
      <c r="N16" s="31" t="str">
        <f aca="false">IF(ISNUMBER(M16),IF(M16&gt;4.99,"Exceptional",IF(M16&gt;3.99,"Exceed Expectation",IF(M16&gt;=2.99,"Meet Expectation",IF(M16&gt;1.9,"Below Expectation","Unsatisfactory")))),IF(ISNUMBER(L16),IF(L16&gt;4.99,"Exceptional",IF(L16&gt;3.99,"Exceed Expectation",IF(L16&gt;=2.99,"Meet Expectation",IF(L16&gt;1.9,"Below Expectation","Unsatisfactory")))),"N/A"))</f>
        <v>Exceed Expectation</v>
      </c>
      <c r="O16" s="4" t="str">
        <f aca="false">IFERROR('RESULT Q2'!D16,"-")</f>
        <v>M. Andrian Patria Shaleh RIZAL</v>
      </c>
      <c r="P16" s="4" t="str">
        <f aca="false">IFERROR(RESULT!G17,"-")</f>
        <v>Need more improvement regarding initiative to take mitigation/preventive action to prevent the problem from recurring/current issue.</v>
      </c>
      <c r="Q16" s="4" t="str">
        <f aca="false">IFERROR('RESULT Q2'!G16,"-")</f>
        <v>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v>
      </c>
      <c r="R16" s="4" t="str">
        <f aca="false">B16&amp;" - "&amp;C16</f>
        <v>DELOITTE CONSULTING - DATA PRIVACY TOOLS &amp; PELATIHAN PERSONAL DATA PROTECTION (PDP)</v>
      </c>
    </row>
    <row r="17" customFormat="false" ht="91" hidden="false" customHeight="false" outlineLevel="0" collapsed="false">
      <c r="A17" s="31" t="n">
        <v>14</v>
      </c>
      <c r="B17" s="32" t="s">
        <v>114</v>
      </c>
      <c r="C17" s="32" t="s">
        <v>115</v>
      </c>
      <c r="D17" s="33"/>
      <c r="E17" s="33"/>
      <c r="F17" s="33"/>
      <c r="G17" s="33"/>
      <c r="H17" s="33" t="n">
        <v>3.18666666666667</v>
      </c>
      <c r="I17" s="33" t="n">
        <v>3.67333333333333</v>
      </c>
      <c r="J17" s="33" t="n">
        <v>3.51666666666667</v>
      </c>
      <c r="K17" s="33" t="n">
        <v>3.86666666666667</v>
      </c>
      <c r="L17" s="33" t="n">
        <f aca="false">RESULT!E14</f>
        <v>3.68333333333333</v>
      </c>
      <c r="M17" s="33" t="n">
        <f aca="false">IFERROR(VALUE('RESULT Q2'!E14),"N/A")</f>
        <v>3.33333333333333</v>
      </c>
      <c r="N17" s="31" t="str">
        <f aca="false">IF(ISNUMBER(M17),IF(M17&gt;4.99,"Exceptional",IF(M17&gt;3.99,"Exceed Expectation",IF(M17&gt;=2.99,"Meet Expectation",IF(M17&gt;1.9,"Below Expectation","Unsatisfactory")))),IF(ISNUMBER(L17),IF(L17&gt;4.99,"Exceptional",IF(L17&gt;3.99,"Exceed Expectation",IF(L17&gt;=2.99,"Meet Expectation",IF(L17&gt;1.9,"Below Expectation","Unsatisfactory")))),"N/A"))</f>
        <v>Meet Expectation</v>
      </c>
      <c r="O17" s="4" t="str">
        <f aca="false">IFERROR('RESULT Q2'!D14,"-")</f>
        <v>Tatang SUTIAMAN</v>
      </c>
      <c r="P17" s="4" t="str">
        <f aca="false">IFERROR(RESULT!G14,"-")</f>
        <v>Local vendor Sutra is affiliated with SAS Technology which is known as more expensive system compared to other vendors during the Vendor Bidding Process. However, SAS Technology System has been used in few well-known insurance companies in Indonesia, so it is easier to get the review and information; mostly positive.   </v>
      </c>
      <c r="Q17" s="4" t="str">
        <f aca="false">IFERROR('RESULT Q2'!G14,"-")</f>
        <v>no feedback</v>
      </c>
      <c r="R17" s="4" t="str">
        <f aca="false">B17&amp;" - "&amp;C17</f>
        <v>SUTRA MANAGEMENT CONSULTANCIES - IMPLEMENTASI SAS IFRS17</v>
      </c>
    </row>
    <row r="18" customFormat="false" ht="23.85" hidden="false" customHeight="false" outlineLevel="0" collapsed="false">
      <c r="A18" s="31" t="n">
        <v>15</v>
      </c>
      <c r="B18" s="32" t="s">
        <v>116</v>
      </c>
      <c r="C18" s="32" t="s">
        <v>117</v>
      </c>
      <c r="D18" s="33"/>
      <c r="E18" s="33"/>
      <c r="F18" s="33"/>
      <c r="G18" s="33"/>
      <c r="H18" s="33"/>
      <c r="I18" s="33"/>
      <c r="J18" s="33"/>
      <c r="K18" s="33"/>
      <c r="L18" s="33" t="n">
        <f aca="false">RESULT!E18</f>
        <v>3</v>
      </c>
      <c r="M18" s="33" t="n">
        <f aca="false">IFERROR(VALUE('RESULT Q2'!E17),"N/A")</f>
        <v>3</v>
      </c>
      <c r="N18" s="31" t="str">
        <f aca="false">IF(ISNUMBER(M18),IF(M18&gt;4.99,"Exceptional",IF(M18&gt;3.99,"Exceed Expectation",IF(M18&gt;=2.99,"Meet Expectation",IF(M18&gt;1.9,"Below Expectation","Unsatisfactory")))),IF(ISNUMBER(L18),IF(L18&gt;4.99,"Exceptional",IF(L18&gt;3.99,"Exceed Expectation",IF(L18&gt;=2.99,"Meet Expectation",IF(L18&gt;1.9,"Below Expectation","Unsatisfactory")))),"N/A"))</f>
        <v>Meet Expectation</v>
      </c>
      <c r="O18" s="4" t="str">
        <f aca="false">IFERROR('RESULT Q2'!D17,"-")</f>
        <v>Enung HARYATI</v>
      </c>
      <c r="P18" s="4" t="str">
        <f aca="false">IFERROR(RESULT!G18,"-")</f>
        <v>Always check and recheck the task in internal PIC TMF before send the report to AMFS PIC </v>
      </c>
      <c r="Q18" s="4" t="str">
        <f aca="false">IFERROR('RESULT Q2'!G17,"-")</f>
        <v>-</v>
      </c>
      <c r="R18" s="4" t="str">
        <f aca="false">B18&amp;" - "&amp;C18</f>
        <v>TMF INDONESIA - PAYROLL</v>
      </c>
    </row>
    <row r="19" customFormat="false" ht="23.85" hidden="false" customHeight="false" outlineLevel="0" collapsed="false">
      <c r="A19" s="31" t="n">
        <v>16</v>
      </c>
      <c r="B19" s="32" t="s">
        <v>118</v>
      </c>
      <c r="C19" s="32" t="s">
        <v>119</v>
      </c>
      <c r="D19" s="33"/>
      <c r="E19" s="33"/>
      <c r="F19" s="33"/>
      <c r="G19" s="33"/>
      <c r="H19" s="33"/>
      <c r="I19" s="33"/>
      <c r="J19" s="33"/>
      <c r="K19" s="33"/>
      <c r="L19" s="33" t="n">
        <f aca="false">RESULT!E15</f>
        <v>4.76666666666667</v>
      </c>
      <c r="M19" s="33" t="n">
        <f aca="false">IFERROR(VALUE('RESULT Q2'!E15),"N/A")</f>
        <v>4.3</v>
      </c>
      <c r="N19" s="31" t="str">
        <f aca="false">IF(ISNUMBER(M19),IF(M19&gt;4.99,"Exceptional",IF(M19&gt;3.99,"Exceed Expectation",IF(M19&gt;=2.99,"Meet Expectation",IF(M19&gt;1.9,"Below Expectation","Unsatisfactory")))),IF(ISNUMBER(L19),IF(L19&gt;4.99,"Exceptional",IF(L19&gt;3.99,"Exceed Expectation",IF(L19&gt;=2.99,"Meet Expectation",IF(L19&gt;1.9,"Below Expectation","Unsatisfactory")))),"N/A"))</f>
        <v>Exceed Expectation</v>
      </c>
      <c r="O19" s="4" t="str">
        <f aca="false">IFERROR('RESULT Q2'!D15,"-")</f>
        <v>Yulia KURNIATI</v>
      </c>
      <c r="P19" s="4" t="str">
        <f aca="false">IFERROR(RESULT!G15,"-")</f>
        <v>More inovation for 2026</v>
      </c>
      <c r="Q19" s="4" t="str">
        <f aca="false">IFERROR('RESULT Q2'!G15,"-")</f>
        <v>Improvements to their latest Technology to support process at AXA </v>
      </c>
      <c r="R19" s="4" t="str">
        <f aca="false">B19&amp;" - "&amp;C19</f>
        <v>REYCOM DOCUMENT SOLUTION - PRINTING &amp; DMC</v>
      </c>
    </row>
    <row r="20" customFormat="false" ht="23.85" hidden="false" customHeight="false" outlineLevel="0" collapsed="false">
      <c r="A20" s="31" t="n">
        <v>17</v>
      </c>
      <c r="B20" s="32" t="s">
        <v>120</v>
      </c>
      <c r="C20" s="32" t="s">
        <v>121</v>
      </c>
      <c r="D20" s="33"/>
      <c r="E20" s="33"/>
      <c r="F20" s="33"/>
      <c r="G20" s="33"/>
      <c r="H20" s="33"/>
      <c r="I20" s="33"/>
      <c r="J20" s="33"/>
      <c r="K20" s="33"/>
      <c r="L20" s="33" t="n">
        <f aca="false">RESULT!E4</f>
        <v>3</v>
      </c>
      <c r="M20" s="33" t="n">
        <f aca="false">IFERROR(VALUE('RESULT Q2'!E4),"N/A")</f>
        <v>4</v>
      </c>
      <c r="N20" s="31" t="str">
        <f aca="false">IF(ISNUMBER(M20),IF(M20&gt;4.99,"Exceptional",IF(M20&gt;3.99,"Exceed Expectation",IF(M20&gt;=2.99,"Meet Expectation",IF(M20&gt;1.9,"Below Expectation","Unsatisfactory")))),IF(ISNUMBER(L20),IF(L20&gt;4.99,"Exceptional",IF(L20&gt;3.99,"Exceed Expectation",IF(L20&gt;=2.99,"Meet Expectation",IF(L20&gt;1.9,"Below Expectation","Unsatisfactory")))),"N/A"))</f>
        <v>Exceed Expectation</v>
      </c>
      <c r="O20" s="4" t="str">
        <f aca="false">IFERROR('RESULT Q2'!D4,"-")</f>
        <v>Fauzi ARYANTO</v>
      </c>
      <c r="P20" s="4" t="str">
        <f aca="false">IFERROR(RESULT!G4,"-")</f>
        <v>No need improvement</v>
      </c>
      <c r="Q20" s="4" t="str">
        <f aca="false">IFERROR('RESULT Q2'!G4,"-")</f>
        <v>-</v>
      </c>
      <c r="R20" s="4" t="str">
        <f aca="false">B20&amp;" - "&amp;C20</f>
        <v>FPT METRODATA INDONESIA - PENETRATION TEST</v>
      </c>
    </row>
    <row r="21" customFormat="false" ht="15" hidden="false" customHeight="false" outlineLevel="0" collapsed="false">
      <c r="A21" s="31" t="n">
        <v>18</v>
      </c>
      <c r="B21" s="32" t="s">
        <v>122</v>
      </c>
      <c r="C21" s="32" t="s">
        <v>121</v>
      </c>
      <c r="D21" s="33"/>
      <c r="E21" s="33"/>
      <c r="F21" s="33"/>
      <c r="G21" s="33"/>
      <c r="H21" s="33"/>
      <c r="I21" s="33"/>
      <c r="J21" s="33"/>
      <c r="K21" s="33"/>
      <c r="L21" s="33" t="n">
        <f aca="false">RESULT!E3</f>
        <v>4</v>
      </c>
      <c r="M21" s="33" t="n">
        <f aca="false">IFERROR(VALUE('RESULT Q2'!E3),"N/A")</f>
        <v>4</v>
      </c>
      <c r="N21" s="31" t="str">
        <f aca="false">IF(ISNUMBER(M21),IF(M21&gt;4.99,"Exceptional",IF(M21&gt;3.99,"Exceed Expectation",IF(M21&gt;=2.99,"Meet Expectation",IF(M21&gt;1.9,"Below Expectation","Unsatisfactory")))),IF(ISNUMBER(L21),IF(L21&gt;4.99,"Exceptional",IF(L21&gt;3.99,"Exceed Expectation",IF(L21&gt;=2.99,"Meet Expectation",IF(L21&gt;1.9,"Below Expectation","Unsatisfactory")))),"N/A"))</f>
        <v>Exceed Expectation</v>
      </c>
      <c r="O21" s="4" t="str">
        <f aca="false">IFERROR('RESULT Q2'!D3,"-")</f>
        <v>Fauzi ARYANTO</v>
      </c>
      <c r="P21" s="4" t="str">
        <f aca="false">IFERROR(RESULT!G3,"-")</f>
        <v>no need improvement</v>
      </c>
      <c r="Q21" s="4" t="str">
        <f aca="false">IFERROR('RESULT Q2'!G3,"-")</f>
        <v>-</v>
      </c>
      <c r="R21" s="4" t="str">
        <f aca="false">B21&amp;" - "&amp;C21</f>
        <v>IPROTEKSI TELEMATIKA - PENETRATION TEST</v>
      </c>
    </row>
    <row r="22" customFormat="false" ht="15" hidden="false" customHeight="false" outlineLevel="0" collapsed="false">
      <c r="A22" s="31" t="n">
        <v>19</v>
      </c>
      <c r="B22" s="32" t="s">
        <v>123</v>
      </c>
      <c r="C22" s="32" t="s">
        <v>121</v>
      </c>
      <c r="D22" s="33"/>
      <c r="E22" s="33"/>
      <c r="F22" s="33"/>
      <c r="G22" s="33"/>
      <c r="H22" s="33"/>
      <c r="I22" s="33"/>
      <c r="J22" s="33"/>
      <c r="K22" s="33"/>
      <c r="L22" s="33" t="n">
        <f aca="false">RESULT!E2</f>
        <v>3</v>
      </c>
      <c r="M22" s="33" t="n">
        <f aca="false">IFERROR(VALUE('RESULT Q2'!E2),"N/A")</f>
        <v>3</v>
      </c>
      <c r="N22" s="31" t="str">
        <f aca="false">IF(ISNUMBER(M22),IF(M22&gt;4.99,"Exceptional",IF(M22&gt;3.99,"Exceed Expectation",IF(M22&gt;=2.99,"Meet Expectation",IF(M22&gt;1.9,"Below Expectation","Unsatisfactory")))),IF(ISNUMBER(L22),IF(L22&gt;4.99,"Exceptional",IF(L22&gt;3.99,"Exceed Expectation",IF(L22&gt;=2.99,"Meet Expectation",IF(L22&gt;1.9,"Below Expectation","Unsatisfactory")))),"N/A"))</f>
        <v>Meet Expectation</v>
      </c>
      <c r="O22" s="4" t="str">
        <f aca="false">IFERROR('RESULT Q2'!D2,"-")</f>
        <v>Fauzi ARYANTO</v>
      </c>
      <c r="P22" s="4" t="str">
        <f aca="false">IFERROR(RESULT!G2,"-")</f>
        <v>Currently no need improvement</v>
      </c>
      <c r="Q22" s="4" t="str">
        <f aca="false">IFERROR('RESULT Q2'!G2,"-")</f>
        <v>-</v>
      </c>
      <c r="R22" s="4" t="str">
        <f aca="false">B22&amp;" - "&amp;C22</f>
        <v>ITSEC ASIA - PENETRATION TEST</v>
      </c>
    </row>
    <row r="23" customFormat="false" ht="415.65" hidden="false" customHeight="false" outlineLevel="0" collapsed="false">
      <c r="A23" s="34" t="n">
        <v>20</v>
      </c>
      <c r="B23" s="35" t="s">
        <v>124</v>
      </c>
      <c r="C23" s="35" t="s">
        <v>125</v>
      </c>
      <c r="D23" s="34" t="s">
        <v>106</v>
      </c>
      <c r="E23" s="34" t="s">
        <v>106</v>
      </c>
      <c r="F23" s="34" t="s">
        <v>106</v>
      </c>
      <c r="G23" s="34" t="s">
        <v>106</v>
      </c>
      <c r="H23" s="34" t="s">
        <v>106</v>
      </c>
      <c r="I23" s="34" t="s">
        <v>106</v>
      </c>
      <c r="J23" s="34" t="s">
        <v>106</v>
      </c>
      <c r="K23" s="34" t="s">
        <v>106</v>
      </c>
      <c r="L23" s="34" t="s">
        <v>106</v>
      </c>
      <c r="M23" s="36" t="n">
        <f aca="false">IFERROR(VALUE('RESULT Q2'!E20),"N/A")</f>
        <v>3.44583333333333</v>
      </c>
      <c r="N23" s="34" t="str">
        <f aca="false">IF(ISNUMBER(M23),IF(M23&gt;4.99,"Exceptional",IF(M23&gt;3.99,"Exceed Expectation",IF(M23&gt;=2.99,"Meet Expectation",IF(M23&gt;1.9,"Below Expectation","Unsatisfactory")))),"N/A")</f>
        <v>Meet Expectation</v>
      </c>
      <c r="O23" s="4" t="str">
        <f aca="false">IFERROR('RESULT Q2'!D20,"-")</f>
        <v>Noviani MARBUN</v>
      </c>
      <c r="P23" s="4" t="s">
        <v>107</v>
      </c>
      <c r="Q23" s="4" t="str">
        <f aca="false">IFERROR('RESULT Q2'!G20,"-")</f>
        <v>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v>
      </c>
      <c r="R23" s="4" t="str">
        <f aca="false">B23&amp;" - "&amp;C23</f>
        <v>Karyaputra Suryagemilang - Purecloud Decommisioning</v>
      </c>
    </row>
    <row r="24" customFormat="false" ht="225.35" hidden="false" customHeight="false" outlineLevel="0" collapsed="false">
      <c r="A24" s="34" t="n">
        <v>21</v>
      </c>
      <c r="B24" s="35" t="s">
        <v>126</v>
      </c>
      <c r="C24" s="35" t="s">
        <v>125</v>
      </c>
      <c r="D24" s="34" t="s">
        <v>106</v>
      </c>
      <c r="E24" s="34" t="s">
        <v>106</v>
      </c>
      <c r="F24" s="34" t="s">
        <v>106</v>
      </c>
      <c r="G24" s="34" t="s">
        <v>106</v>
      </c>
      <c r="H24" s="34" t="s">
        <v>106</v>
      </c>
      <c r="I24" s="34" t="s">
        <v>106</v>
      </c>
      <c r="J24" s="34" t="s">
        <v>106</v>
      </c>
      <c r="K24" s="34" t="s">
        <v>106</v>
      </c>
      <c r="L24" s="34" t="s">
        <v>106</v>
      </c>
      <c r="M24" s="36" t="n">
        <f aca="false">IFERROR(VALUE('RESULT Q2'!E21),"N/A")</f>
        <v>3.88333333333333</v>
      </c>
      <c r="N24" s="34" t="str">
        <f aca="false">IF(ISNUMBER(M24),IF(M24&gt;4.99,"Exceptional",IF(M24&gt;3.99,"Exceed Expectation",IF(M24&gt;=2.99,"Meet Expectation",IF(M24&gt;1.9,"Below Expectation","Unsatisfactory")))),"N/A")</f>
        <v>Meet Expectation</v>
      </c>
      <c r="O24" s="4" t="str">
        <f aca="false">IFERROR('RESULT Q2'!D21,"-")</f>
        <v>Noviani MARBUN</v>
      </c>
      <c r="P24" s="4" t="s">
        <v>107</v>
      </c>
      <c r="Q24" s="4" t="str">
        <f aca="false">IFERROR('RESULT Q2'!G21,"-")</f>
        <v>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v>
      </c>
      <c r="R24" s="4" t="str">
        <f aca="false">B24&amp;" - "&amp;C24</f>
        <v>Mitra Integrasi Informatika - Purecloud Decommisioning</v>
      </c>
    </row>
    <row r="25" customFormat="false" ht="23.85" hidden="false" customHeight="false" outlineLevel="0" collapsed="false">
      <c r="A25" s="34" t="n">
        <v>22</v>
      </c>
      <c r="B25" s="35" t="s">
        <v>127</v>
      </c>
      <c r="C25" s="35" t="s">
        <v>128</v>
      </c>
      <c r="D25" s="34" t="s">
        <v>106</v>
      </c>
      <c r="E25" s="34" t="s">
        <v>106</v>
      </c>
      <c r="F25" s="34" t="s">
        <v>106</v>
      </c>
      <c r="G25" s="34" t="s">
        <v>106</v>
      </c>
      <c r="H25" s="34" t="s">
        <v>106</v>
      </c>
      <c r="I25" s="34" t="s">
        <v>106</v>
      </c>
      <c r="J25" s="34" t="s">
        <v>106</v>
      </c>
      <c r="K25" s="34" t="s">
        <v>106</v>
      </c>
      <c r="L25" s="34" t="s">
        <v>106</v>
      </c>
      <c r="M25" s="36" t="n">
        <f aca="false">IFERROR(VALUE('RESULT Q2'!E22),"N/A")</f>
        <v>4.60833333333333</v>
      </c>
      <c r="N25" s="34" t="str">
        <f aca="false">IF(ISNUMBER(M25),IF(M25&gt;4.99,"Exceptional",IF(M25&gt;3.99,"Exceed Expectation",IF(M25&gt;=2.99,"Meet Expectation",IF(M25&gt;1.9,"Below Expectation","Unsatisfactory")))),"N/A")</f>
        <v>Exceed Expectation</v>
      </c>
      <c r="O25" s="4" t="str">
        <f aca="false">IFERROR('RESULT Q2'!D22,"-")</f>
        <v>I Gusti Ayu Mira SETYAWARDHANIE</v>
      </c>
      <c r="P25" s="4" t="s">
        <v>107</v>
      </c>
      <c r="Q25" s="4" t="str">
        <f aca="false">IFERROR('RESULT Q2'!G22,"-")</f>
        <v>N/A</v>
      </c>
      <c r="R25" s="4" t="str">
        <f aca="false">B25&amp;" - "&amp;C25</f>
        <v>ESHAEL Indonesia - Talent Assesment</v>
      </c>
    </row>
  </sheetData>
  <mergeCells count="1">
    <mergeCell ref="A1:N1"/>
  </mergeCells>
  <conditionalFormatting sqref="D4:M25">
    <cfRule type="colorScale" priority="2">
      <colorScale>
        <cfvo type="num" val="1.9"/>
        <cfvo type="num" val="3"/>
        <cfvo type="num" val="5"/>
        <color rgb="FFF8696B"/>
        <color rgb="FFFFEB84"/>
        <color rgb="FF63BE7B"/>
      </colorScale>
    </cfRule>
  </conditionalFormatting>
  <conditionalFormatting sqref="N4:N25">
    <cfRule type="cellIs" priority="3" operator="equal" aboveAverage="0" equalAverage="0" bottom="0" percent="0" rank="0" text="" dxfId="0">
      <formula>"Below Expectation"</formula>
    </cfRule>
    <cfRule type="cellIs" priority="4" operator="equal" aboveAverage="0" equalAverage="0" bottom="0" percent="0" rank="0" text="" dxfId="1">
      <formula>"Unsatisfactory"</formula>
    </cfRule>
    <cfRule type="cellIs" priority="5" operator="equal" aboveAverage="0" equalAverage="0" bottom="0" percent="0" rank="0" text="" dxfId="2">
      <formula>"Meet Expectation"</formula>
    </cfRule>
    <cfRule type="cellIs" priority="6" operator="equal" aboveAverage="0" equalAverage="0" bottom="0" percent="0" rank="0" text="" dxfId="3">
      <formula>"Exceed Expectation"</formula>
    </cfRule>
    <cfRule type="cellIs" priority="7" operator="equal" aboveAverage="0" equalAverage="0" bottom="0" percent="0" rank="0" text="" dxfId="4">
      <formula>"Exceptional"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30"/>
    <col collapsed="false" customWidth="true" hidden="false" outlineLevel="0" max="4" min="4" style="0" width="24"/>
    <col collapsed="false" customWidth="true" hidden="false" outlineLevel="0" max="5" min="5" style="0" width="12"/>
    <col collapsed="false" customWidth="true" hidden="false" outlineLevel="0" max="6" min="6" style="0" width="18"/>
    <col collapsed="false" customWidth="true" hidden="false" outlineLevel="0" max="7" min="7" style="0" width="40"/>
    <col collapsed="false" customWidth="true" hidden="false" outlineLevel="0" max="8" min="8" style="0" width="45"/>
  </cols>
  <sheetData>
    <row r="1" customFormat="false" ht="15" hidden="false" customHeight="false" outlineLevel="0" collapsed="false">
      <c r="A1" s="37" t="s">
        <v>78</v>
      </c>
      <c r="B1" s="37" t="s">
        <v>55</v>
      </c>
      <c r="C1" s="37" t="s">
        <v>56</v>
      </c>
      <c r="D1" s="37" t="s">
        <v>129</v>
      </c>
      <c r="E1" s="37" t="s">
        <v>130</v>
      </c>
      <c r="F1" s="37" t="s">
        <v>131</v>
      </c>
      <c r="G1" s="37" t="s">
        <v>132</v>
      </c>
      <c r="H1" s="37" t="s">
        <v>133</v>
      </c>
    </row>
    <row r="2" customFormat="false" ht="15" hidden="false" customHeight="false" outlineLevel="0" collapsed="false">
      <c r="A2" s="38" t="n">
        <v>1</v>
      </c>
      <c r="B2" s="38" t="s">
        <v>134</v>
      </c>
      <c r="C2" s="39" t="s">
        <v>135</v>
      </c>
      <c r="D2" s="39" t="s">
        <v>136</v>
      </c>
      <c r="E2" s="40" t="n">
        <f aca="false">'Q2 ITSEC'!B20</f>
        <v>3</v>
      </c>
      <c r="F2" s="38" t="str">
        <f aca="false">'Q2 ITSEC'!B21</f>
        <v>Meet Expectation</v>
      </c>
      <c r="G2" s="39" t="str">
        <f aca="false">'Q2 ITSEC'!B32</f>
        <v>-</v>
      </c>
      <c r="H2" s="39"/>
    </row>
    <row r="3" customFormat="false" ht="15" hidden="false" customHeight="false" outlineLevel="0" collapsed="false">
      <c r="A3" s="38" t="n">
        <v>2</v>
      </c>
      <c r="B3" s="38" t="s">
        <v>137</v>
      </c>
      <c r="C3" s="39" t="s">
        <v>135</v>
      </c>
      <c r="D3" s="39" t="s">
        <v>136</v>
      </c>
      <c r="E3" s="40" t="n">
        <f aca="false">'Q2 IPROTEKSI'!B20</f>
        <v>4</v>
      </c>
      <c r="F3" s="38" t="str">
        <f aca="false">'Q2 IPROTEKSI'!B21</f>
        <v>Exceed Expectation</v>
      </c>
      <c r="G3" s="39" t="str">
        <f aca="false">'Q2 IPROTEKSI'!B32</f>
        <v>-</v>
      </c>
      <c r="H3" s="39"/>
    </row>
    <row r="4" customFormat="false" ht="15" hidden="false" customHeight="false" outlineLevel="0" collapsed="false">
      <c r="A4" s="38" t="n">
        <v>3</v>
      </c>
      <c r="B4" s="38" t="s">
        <v>138</v>
      </c>
      <c r="C4" s="39" t="s">
        <v>135</v>
      </c>
      <c r="D4" s="39" t="s">
        <v>136</v>
      </c>
      <c r="E4" s="40" t="n">
        <f aca="false">'Q2 FPT'!B20</f>
        <v>4</v>
      </c>
      <c r="F4" s="38" t="str">
        <f aca="false">'Q2 FPT'!B21</f>
        <v>Exceed Expectation</v>
      </c>
      <c r="G4" s="39" t="str">
        <f aca="false">'Q2 FPT'!B32</f>
        <v>-</v>
      </c>
      <c r="H4" s="39"/>
    </row>
    <row r="5" customFormat="false" ht="15" hidden="false" customHeight="false" outlineLevel="0" collapsed="false">
      <c r="A5" s="38" t="n">
        <v>4</v>
      </c>
      <c r="B5" s="38" t="s">
        <v>139</v>
      </c>
      <c r="C5" s="39" t="s">
        <v>140</v>
      </c>
      <c r="D5" s="39" t="s">
        <v>141</v>
      </c>
      <c r="E5" s="40" t="n">
        <f aca="false">'Q2 SAP-Mailing'!B25</f>
        <v>3.04375</v>
      </c>
      <c r="F5" s="38" t="str">
        <f aca="false">'Q2 SAP-Mailing'!B26</f>
        <v>Meet Expectation</v>
      </c>
      <c r="G5" s="39" t="str">
        <f aca="false">'Q2 SAP-Mailing'!B37</f>
        <v>improve inisiatsis</v>
      </c>
      <c r="H5" s="39"/>
    </row>
    <row r="6" customFormat="false" ht="52.2" hidden="false" customHeight="false" outlineLevel="0" collapsed="false">
      <c r="A6" s="38" t="n">
        <v>5</v>
      </c>
      <c r="B6" s="38" t="s">
        <v>142</v>
      </c>
      <c r="C6" s="39" t="s">
        <v>143</v>
      </c>
      <c r="D6" s="39" t="s">
        <v>144</v>
      </c>
      <c r="E6" s="40" t="n">
        <f aca="false">'Q2 JATIS'!B29</f>
        <v>3</v>
      </c>
      <c r="F6" s="38" t="str">
        <f aca="false">'Q2 JATIS'!B30</f>
        <v>Meet Expectation</v>
      </c>
      <c r="G6" s="39" t="str">
        <f aca="false">'Q2 JATIS'!B41</f>
        <v>So far, Jatis Vendor has provided good service. Their response time is fast, and they are able to provide effective solutions whenever issues arise</v>
      </c>
      <c r="H6" s="39"/>
    </row>
    <row r="7" customFormat="false" ht="191.75" hidden="false" customHeight="false" outlineLevel="0" collapsed="false">
      <c r="A7" s="38" t="n">
        <v>6</v>
      </c>
      <c r="B7" s="38" t="s">
        <v>139</v>
      </c>
      <c r="C7" s="39" t="s">
        <v>145</v>
      </c>
      <c r="D7" s="39" t="s">
        <v>146</v>
      </c>
      <c r="E7" s="40" t="n">
        <f aca="false">'Q2 SAP-Courier'!B33</f>
        <v>3.23833333333333</v>
      </c>
      <c r="F7" s="38" t="str">
        <f aca="false">'Q2 SAP-Courier'!B34</f>
        <v>Meet Expectation</v>
      </c>
      <c r="G7" s="39" t="str">
        <f aca="false">'Q2 SAP-Courier'!B47&amp;" | "&amp;'Q2 SAP-Courier'!B48</f>
        <v>SAP has shown improvement in terms of reporting and provides a fast response whenever issues arise. | 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v>
      </c>
      <c r="H7" s="39" t="s">
        <v>147</v>
      </c>
    </row>
    <row r="8" customFormat="false" ht="15" hidden="false" customHeight="false" outlineLevel="0" collapsed="false">
      <c r="A8" s="38" t="n">
        <v>7</v>
      </c>
      <c r="B8" s="38" t="s">
        <v>148</v>
      </c>
      <c r="C8" s="39" t="s">
        <v>149</v>
      </c>
      <c r="D8" s="39" t="s">
        <v>141</v>
      </c>
      <c r="E8" s="40" t="n">
        <f aca="false">'Q2 MMI'!B29</f>
        <v>3</v>
      </c>
      <c r="F8" s="38" t="str">
        <f aca="false">'Q2 MMI'!B30</f>
        <v>Meet Expectation</v>
      </c>
      <c r="G8" s="39" t="str">
        <f aca="false">'Q2 MMI'!B41</f>
        <v>..</v>
      </c>
      <c r="H8" s="39"/>
    </row>
    <row r="9" customFormat="false" ht="128.35" hidden="false" customHeight="false" outlineLevel="0" collapsed="false">
      <c r="A9" s="38" t="n">
        <v>8</v>
      </c>
      <c r="B9" s="38" t="s">
        <v>150</v>
      </c>
      <c r="C9" s="39" t="s">
        <v>151</v>
      </c>
      <c r="D9" s="39" t="s">
        <v>152</v>
      </c>
      <c r="E9" s="40" t="n">
        <f aca="false">'Q2 INDOSAT'!B36</f>
        <v>3.43947368421053</v>
      </c>
      <c r="F9" s="38" t="str">
        <f aca="false">'Q2 INDOSAT'!B37</f>
        <v>Meet Expectation</v>
      </c>
      <c r="G9" s="39" t="str">
        <f aca="false">'Q2 INDOSAT'!B48</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H9" s="39"/>
    </row>
    <row r="10" customFormat="false" ht="26.85" hidden="false" customHeight="false" outlineLevel="0" collapsed="false">
      <c r="A10" s="38" t="n">
        <v>9</v>
      </c>
      <c r="B10" s="38" t="s">
        <v>153</v>
      </c>
      <c r="C10" s="39" t="s">
        <v>154</v>
      </c>
      <c r="D10" s="39" t="s">
        <v>155</v>
      </c>
      <c r="E10" s="40" t="n">
        <f aca="false">'Q2 CIPTADRA'!B32</f>
        <v>4.3</v>
      </c>
      <c r="F10" s="38" t="str">
        <f aca="false">'Q2 CIPTADRA'!B33</f>
        <v>Exceed Expectation</v>
      </c>
      <c r="G10" s="39" t="str">
        <f aca="false">'Q2 CIPTADRA'!B44</f>
        <v>Ciptadra selalu fast response ketika ada incident yang terjadi di DMTM</v>
      </c>
      <c r="H10" s="39"/>
    </row>
    <row r="11" customFormat="false" ht="191.75" hidden="false" customHeight="false" outlineLevel="0" collapsed="false">
      <c r="A11" s="38" t="n">
        <v>10</v>
      </c>
      <c r="B11" s="38" t="s">
        <v>156</v>
      </c>
      <c r="C11" s="39" t="s">
        <v>157</v>
      </c>
      <c r="D11" s="39" t="s">
        <v>158</v>
      </c>
      <c r="E11" s="40" t="n">
        <f aca="false">'Q2 MTARGET'!B23</f>
        <v>2.94166666666667</v>
      </c>
      <c r="F11" s="38" t="str">
        <f aca="false">'Q2 MTARGET'!B24</f>
        <v>Below Expectation</v>
      </c>
      <c r="G11" s="39" t="str">
        <f aca="false">'Q2 MTARGET'!B35</f>
        <v>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v>
      </c>
      <c r="H11" s="39"/>
    </row>
    <row r="12" customFormat="false" ht="26.85" hidden="false" customHeight="false" outlineLevel="0" collapsed="false">
      <c r="A12" s="38" t="n">
        <v>11</v>
      </c>
      <c r="B12" s="38" t="s">
        <v>159</v>
      </c>
      <c r="C12" s="39" t="s">
        <v>160</v>
      </c>
      <c r="D12" s="39" t="s">
        <v>161</v>
      </c>
      <c r="E12" s="40" t="n">
        <f aca="false">'Q2 INMOTION'!B54</f>
        <v>4</v>
      </c>
      <c r="F12" s="38" t="str">
        <f aca="false">'Q2 INMOTION'!B55</f>
        <v>Exceed Expectation</v>
      </c>
      <c r="G12" s="39" t="str">
        <f aca="false">'Q2 INMOTION'!B66</f>
        <v>Tetap up to date dan helpful</v>
      </c>
      <c r="H12" s="39"/>
    </row>
    <row r="13" customFormat="false" ht="128.35" hidden="false" customHeight="false" outlineLevel="0" collapsed="false">
      <c r="A13" s="38" t="n">
        <v>12</v>
      </c>
      <c r="B13" s="38" t="s">
        <v>126</v>
      </c>
      <c r="C13" s="39" t="s">
        <v>162</v>
      </c>
      <c r="D13" s="39" t="s">
        <v>163</v>
      </c>
      <c r="E13" s="40" t="n">
        <f aca="false">'Q2 MII-SFDC'!B30</f>
        <v>4.74871794871795</v>
      </c>
      <c r="F13" s="38" t="str">
        <f aca="false">'Q2 MII-SFDC'!B31</f>
        <v>Exceed Expectation</v>
      </c>
      <c r="G13" s="39" t="str">
        <f aca="false">'Q2 MII-SFDC'!B42</f>
        <v>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v>
      </c>
      <c r="H13" s="39"/>
    </row>
    <row r="14" customFormat="false" ht="15" hidden="false" customHeight="false" outlineLevel="0" collapsed="false">
      <c r="A14" s="38" t="n">
        <v>13</v>
      </c>
      <c r="B14" s="38" t="s">
        <v>164</v>
      </c>
      <c r="C14" s="39" t="s">
        <v>165</v>
      </c>
      <c r="D14" s="39" t="s">
        <v>166</v>
      </c>
      <c r="E14" s="40" t="n">
        <f aca="false">'Q2 SUTRA'!B38</f>
        <v>3.33333333333333</v>
      </c>
      <c r="F14" s="38" t="str">
        <f aca="false">'Q2 SUTRA'!B39</f>
        <v>Meet Expectation</v>
      </c>
      <c r="G14" s="39" t="str">
        <f aca="false">'Q2 SUTRA'!B50</f>
        <v>no feedback</v>
      </c>
      <c r="H14" s="39"/>
    </row>
    <row r="15" customFormat="false" ht="26.85" hidden="false" customHeight="false" outlineLevel="0" collapsed="false">
      <c r="A15" s="38" t="n">
        <v>14</v>
      </c>
      <c r="B15" s="38" t="s">
        <v>167</v>
      </c>
      <c r="C15" s="39" t="s">
        <v>168</v>
      </c>
      <c r="D15" s="39" t="s">
        <v>169</v>
      </c>
      <c r="E15" s="40" t="n">
        <f aca="false">'Q2 RDS-Printing'!B33</f>
        <v>4.3</v>
      </c>
      <c r="F15" s="38" t="str">
        <f aca="false">'Q2 RDS-Printing'!B34</f>
        <v>Exceed Expectation</v>
      </c>
      <c r="G15" s="39" t="str">
        <f aca="false">'Q2 RDS-Printing'!B45</f>
        <v>Improvements to their latest Technology to support process at AXA </v>
      </c>
      <c r="H15" s="39" t="s">
        <v>170</v>
      </c>
    </row>
    <row r="16" customFormat="false" ht="141" hidden="false" customHeight="false" outlineLevel="0" collapsed="false">
      <c r="A16" s="38" t="n">
        <v>15</v>
      </c>
      <c r="B16" s="38" t="s">
        <v>171</v>
      </c>
      <c r="C16" s="39" t="s">
        <v>172</v>
      </c>
      <c r="D16" s="39" t="s">
        <v>173</v>
      </c>
      <c r="E16" s="40" t="n">
        <f aca="false">'Q2 DELOITTE'!B28</f>
        <v>4.06363636363636</v>
      </c>
      <c r="F16" s="38" t="str">
        <f aca="false">'Q2 DELOITTE'!B29</f>
        <v>Exceed Expectation</v>
      </c>
      <c r="G16" s="39" t="str">
        <f aca="false">'Q2 DELOITTE'!B40</f>
        <v>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v>
      </c>
      <c r="H16" s="39"/>
    </row>
    <row r="17" customFormat="false" ht="15" hidden="false" customHeight="false" outlineLevel="0" collapsed="false">
      <c r="A17" s="38" t="n">
        <v>16</v>
      </c>
      <c r="B17" s="38" t="s">
        <v>174</v>
      </c>
      <c r="C17" s="39" t="s">
        <v>175</v>
      </c>
      <c r="D17" s="39" t="s">
        <v>176</v>
      </c>
      <c r="E17" s="40" t="n">
        <f aca="false">'Q2 TMF'!B23</f>
        <v>3</v>
      </c>
      <c r="F17" s="38" t="str">
        <f aca="false">'Q2 TMF'!B24</f>
        <v>Meet Expectation</v>
      </c>
      <c r="G17" s="39" t="str">
        <f aca="false">'Q2 TMF'!B35</f>
        <v>-</v>
      </c>
      <c r="H17" s="39"/>
    </row>
    <row r="18" customFormat="false" ht="64.9" hidden="false" customHeight="false" outlineLevel="0" collapsed="false">
      <c r="A18" s="38" t="n">
        <v>17</v>
      </c>
      <c r="B18" s="38" t="s">
        <v>177</v>
      </c>
      <c r="C18" s="39" t="s">
        <v>178</v>
      </c>
      <c r="D18" s="39" t="s">
        <v>152</v>
      </c>
      <c r="E18" s="40" t="n">
        <f aca="false">'Q2 KPSG-TM'!B28</f>
        <v>3.53939393939394</v>
      </c>
      <c r="F18" s="38" t="str">
        <f aca="false">'Q2 KPSG-TM'!B29</f>
        <v>Meet Expectation</v>
      </c>
      <c r="G18" s="39" t="str">
        <f aca="false">'Q2 KPSG-TM'!B40</f>
        <v>1. For AI Implementation, KPSG need to improve the delivery time, quality and PIC availability and backup PIC support
2. Another enhancement need to speed up with dedicated team </v>
      </c>
      <c r="H18" s="39"/>
    </row>
    <row r="19" customFormat="false" ht="39.55" hidden="false" customHeight="false" outlineLevel="0" collapsed="false">
      <c r="A19" s="38" t="n">
        <v>18</v>
      </c>
      <c r="B19" s="38" t="s">
        <v>179</v>
      </c>
      <c r="C19" s="39" t="s">
        <v>180</v>
      </c>
      <c r="D19" s="39" t="s">
        <v>181</v>
      </c>
      <c r="E19" s="40" t="n">
        <f aca="false">'Q2 WIZ'!B25</f>
        <v>3.0875</v>
      </c>
      <c r="F19" s="38" t="str">
        <f aca="false">'Q2 WIZ'!B26</f>
        <v>Meet Expectation</v>
      </c>
      <c r="G19" s="39" t="str">
        <f aca="false">'Q2 WIZ'!B37</f>
        <v>To ensure a smooth process, we need to move faster and maintain effective communication</v>
      </c>
      <c r="H19" s="39"/>
    </row>
    <row r="20" customFormat="false" ht="534.3" hidden="false" customHeight="false" outlineLevel="0" collapsed="false">
      <c r="A20" s="38" t="n">
        <v>19</v>
      </c>
      <c r="B20" s="38" t="s">
        <v>124</v>
      </c>
      <c r="C20" s="39" t="s">
        <v>125</v>
      </c>
      <c r="D20" s="39" t="s">
        <v>182</v>
      </c>
      <c r="E20" s="40" t="n">
        <f aca="false">'Q2 KPSG-ARSI'!B34</f>
        <v>3.44583333333333</v>
      </c>
      <c r="F20" s="38" t="str">
        <f aca="false">'Q2 KPSG-ARSI'!B35</f>
        <v>Meet Expectation</v>
      </c>
      <c r="G20" s="39" t="str">
        <f aca="false">'Q2 KPSG-ARSI'!B46</f>
        <v>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v>
      </c>
      <c r="H20" s="39" t="s">
        <v>183</v>
      </c>
    </row>
    <row r="21" customFormat="false" ht="293.25" hidden="false" customHeight="false" outlineLevel="0" collapsed="false">
      <c r="A21" s="38" t="n">
        <v>20</v>
      </c>
      <c r="B21" s="38" t="s">
        <v>126</v>
      </c>
      <c r="C21" s="39" t="s">
        <v>125</v>
      </c>
      <c r="D21" s="39" t="s">
        <v>182</v>
      </c>
      <c r="E21" s="40" t="n">
        <f aca="false">'Q2 MII-Purecloud'!B30</f>
        <v>3.88333333333333</v>
      </c>
      <c r="F21" s="38" t="str">
        <f aca="false">'Q2 MII-Purecloud'!B31</f>
        <v>Meet Expectation</v>
      </c>
      <c r="G21" s="39" t="str">
        <f aca="false">'Q2 MII-Purecloud'!B42</f>
        <v>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v>
      </c>
      <c r="H21" s="39" t="s">
        <v>183</v>
      </c>
    </row>
    <row r="22" customFormat="false" ht="52.2" hidden="false" customHeight="false" outlineLevel="0" collapsed="false">
      <c r="A22" s="38" t="n">
        <v>21</v>
      </c>
      <c r="B22" s="38" t="s">
        <v>127</v>
      </c>
      <c r="C22" s="39" t="s">
        <v>128</v>
      </c>
      <c r="D22" s="39" t="s">
        <v>184</v>
      </c>
      <c r="E22" s="40" t="n">
        <f aca="false">'Q2 ESHAEL'!B29</f>
        <v>4.60833333333333</v>
      </c>
      <c r="F22" s="38" t="str">
        <f aca="false">'Q2 ESHAEL'!B30</f>
        <v>Exceed Expectation</v>
      </c>
      <c r="G22" s="39" t="str">
        <f aca="false">'Q2 ESHAEL'!B41</f>
        <v>N/A</v>
      </c>
      <c r="H22" s="39" t="s">
        <v>183</v>
      </c>
    </row>
    <row r="23" customFormat="false" ht="15" hidden="false" customHeight="false" outlineLevel="0" collapsed="false">
      <c r="A23" s="41" t="n">
        <v>22</v>
      </c>
      <c r="B23" s="41" t="s">
        <v>185</v>
      </c>
      <c r="C23" s="41" t="s">
        <v>186</v>
      </c>
      <c r="D23" s="41" t="s">
        <v>187</v>
      </c>
      <c r="E23" s="41" t="s">
        <v>106</v>
      </c>
      <c r="F23" s="41" t="s">
        <v>188</v>
      </c>
      <c r="G23" s="41" t="s">
        <v>107</v>
      </c>
      <c r="H23" s="41"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134</v>
      </c>
    </row>
    <row r="3" customFormat="false" ht="15" hidden="false" customHeight="false" outlineLevel="0" collapsed="false">
      <c r="A3" s="42" t="s">
        <v>56</v>
      </c>
      <c r="B3" s="38" t="s">
        <v>135</v>
      </c>
    </row>
    <row r="4" customFormat="false" ht="15" hidden="false" customHeight="false" outlineLevel="0" collapsed="false">
      <c r="A4" s="42" t="s">
        <v>191</v>
      </c>
      <c r="B4" s="38" t="s">
        <v>136</v>
      </c>
    </row>
    <row r="6" customFormat="false" ht="15" hidden="false" customHeight="false" outlineLevel="0" collapsed="false">
      <c r="A6" s="43" t="s">
        <v>78</v>
      </c>
      <c r="B6" s="43" t="s">
        <v>192</v>
      </c>
      <c r="C6" s="44" t="s">
        <v>193</v>
      </c>
      <c r="D6" s="43" t="s">
        <v>194</v>
      </c>
    </row>
    <row r="7" customFormat="false" ht="64.9" hidden="false" customHeight="false" outlineLevel="0" collapsed="false">
      <c r="A7" s="45" t="n">
        <v>1</v>
      </c>
      <c r="B7" s="45" t="s">
        <v>195</v>
      </c>
      <c r="C7" s="46" t="str">
        <f aca="false">'RAW DATA Q2 - 1'!ER$1</f>
        <v>How would you rate the Technical services that is used to penetrate the application which includes:
1. Technical Specification Design.
2. Hardware and capacity sizing for concurrent requests
3. Functi2</v>
      </c>
      <c r="D7" s="47" t="n">
        <f aca="false">'RAW DATA Q2 - 1'!ER10</f>
        <v>3</v>
      </c>
    </row>
    <row r="8" customFormat="false" ht="26.85" hidden="false" customHeight="false" outlineLevel="0" collapsed="false">
      <c r="A8" s="45" t="n">
        <v>2</v>
      </c>
      <c r="B8" s="45" t="s">
        <v>195</v>
      </c>
      <c r="C8" s="46" t="str">
        <f aca="false">'RAW DATA Q2 - 1'!ES$1</f>
        <v>How would you rate the after sales support capability and methodology?2</v>
      </c>
      <c r="D8" s="47" t="n">
        <f aca="false">'RAW DATA Q2 - 1'!ES10</f>
        <v>3</v>
      </c>
    </row>
    <row r="9" customFormat="false" ht="26.85" hidden="false" customHeight="false" outlineLevel="0" collapsed="false">
      <c r="A9" s="45" t="n">
        <v>3</v>
      </c>
      <c r="B9" s="45" t="s">
        <v>195</v>
      </c>
      <c r="C9" s="46" t="str">
        <f aca="false">'RAW DATA Q2 - 1'!ET$1</f>
        <v>How would you rate the availability of documentation for product (user manual, troubleshoot document, setup document, etc)?1</v>
      </c>
      <c r="D9" s="47" t="n">
        <f aca="false">'RAW DATA Q2 - 1'!ET10</f>
        <v>3</v>
      </c>
    </row>
    <row r="10" customFormat="false" ht="26.85" hidden="false" customHeight="false" outlineLevel="0" collapsed="false">
      <c r="A10" s="48" t="n">
        <v>4</v>
      </c>
      <c r="B10" s="48" t="s">
        <v>196</v>
      </c>
      <c r="C10" s="49" t="str">
        <f aca="false">'RAW DATA Q2 - 1'!EU$1</f>
        <v>How would you rate the supplier's timeliness in delivering goods/services compared to the agreed-upon timeline?</v>
      </c>
      <c r="D10" s="50" t="n">
        <f aca="false">'RAW DATA Q2 - 1'!EU10</f>
        <v>3</v>
      </c>
    </row>
    <row r="11" customFormat="false" ht="15" hidden="false" customHeight="false" outlineLevel="0" collapsed="false">
      <c r="A11" s="48" t="n">
        <v>5</v>
      </c>
      <c r="B11" s="48" t="s">
        <v>196</v>
      </c>
      <c r="C11" s="49" t="str">
        <f aca="false">'RAW DATA Q2 - 1'!EV$1</f>
        <v>How would you rate the supplier's timeliness in sending reports to you?</v>
      </c>
      <c r="D11" s="50" t="n">
        <f aca="false">'RAW DATA Q2 - 1'!EV10</f>
        <v>3</v>
      </c>
    </row>
    <row r="12" customFormat="false" ht="26.85" hidden="false" customHeight="false" outlineLevel="0" collapsed="false">
      <c r="A12" s="48" t="n">
        <v>6</v>
      </c>
      <c r="B12" s="48" t="s">
        <v>196</v>
      </c>
      <c r="C12" s="49" t="str">
        <f aca="false">'RAW DATA Q2 - 1'!EW$1</f>
        <v>How would you rate the supplier's speed ​​of administrative completion, including completion of contracts draft?</v>
      </c>
      <c r="D12" s="50" t="n">
        <f aca="false">'RAW DATA Q2 - 1'!EW10</f>
        <v>3</v>
      </c>
    </row>
    <row r="13" customFormat="false" ht="15" hidden="false" customHeight="false" outlineLevel="0" collapsed="false">
      <c r="A13" s="51" t="n">
        <v>7</v>
      </c>
      <c r="B13" s="51" t="s">
        <v>197</v>
      </c>
      <c r="C13" s="52" t="str">
        <f aca="false">'RAW DATA Q2 - 1'!FM$1</f>
        <v>How would you rate the supplier's communication with you?</v>
      </c>
      <c r="D13" s="53" t="n">
        <f aca="false">'RAW DATA Q2 - 1'!FM10</f>
        <v>3</v>
      </c>
    </row>
    <row r="14" customFormat="false" ht="26.85" hidden="false" customHeight="false" outlineLevel="0" collapsed="false">
      <c r="A14" s="51" t="n">
        <v>8</v>
      </c>
      <c r="B14" s="51" t="s">
        <v>197</v>
      </c>
      <c r="C14" s="52" t="str">
        <f aca="false">'RAW DATA Q2 - 1'!FN$1</f>
        <v>How would you rate the supplier's PIC's availability to be contacted when needed?</v>
      </c>
      <c r="D14" s="53" t="n">
        <f aca="false">'RAW DATA Q2 - 1'!FN10</f>
        <v>3</v>
      </c>
    </row>
    <row r="15" customFormat="false" ht="39.55" hidden="false" customHeight="false" outlineLevel="0" collapsed="false">
      <c r="A15" s="51" t="n">
        <v>9</v>
      </c>
      <c r="B15" s="51" t="s">
        <v>197</v>
      </c>
      <c r="C15" s="52" t="str">
        <f aca="false">'RAW DATA Q2 - 1'!FO$1</f>
        <v>How would you rate the supplier's response speed to you when there are issues?
</v>
      </c>
      <c r="D15" s="53" t="n">
        <f aca="false">'RAW DATA Q2 - 1'!FO10</f>
        <v>3</v>
      </c>
    </row>
    <row r="17" customFormat="false" ht="15" hidden="false" customHeight="false" outlineLevel="0" collapsed="false">
      <c r="A17" s="42" t="s">
        <v>198</v>
      </c>
      <c r="B17" s="54" t="n">
        <f aca="false">AVERAGEIF(B7:B15,"Quality",D7:D15)</f>
        <v>3</v>
      </c>
    </row>
    <row r="18" customFormat="false" ht="15" hidden="false" customHeight="false" outlineLevel="0" collapsed="false">
      <c r="A18" s="42" t="s">
        <v>199</v>
      </c>
      <c r="B18" s="54" t="n">
        <f aca="false">AVERAGEIF(B7:B15,"Timeline",D7:D15)</f>
        <v>3</v>
      </c>
    </row>
    <row r="19" customFormat="false" ht="15" hidden="false" customHeight="false" outlineLevel="0" collapsed="false">
      <c r="A19" s="42" t="s">
        <v>200</v>
      </c>
      <c r="B19" s="54" t="n">
        <f aca="false">AVERAGEIF(B7:B15,"Relationship",D7:D15)</f>
        <v>3</v>
      </c>
    </row>
    <row r="20" customFormat="false" ht="15" hidden="false" customHeight="false" outlineLevel="0" collapsed="false">
      <c r="A20" s="42" t="s">
        <v>201</v>
      </c>
      <c r="B20" s="55" t="n">
        <f aca="false">B17*0.35+B18*0.35+B19*0.3</f>
        <v>3</v>
      </c>
    </row>
    <row r="21" customFormat="false" ht="15" hidden="false" customHeight="false" outlineLevel="0" collapsed="false">
      <c r="A21" s="42" t="s">
        <v>202</v>
      </c>
      <c r="B21" s="42" t="str">
        <f aca="false">IF(B20&gt;4.99,"Exceptional",IF(B20&gt;3.99,"Exceed Expectation",IF(B20&gt;=2.99,"Meet Expectation",IF(B20&gt;1.9,"Below Expectation","Unsatisfactory"))))</f>
        <v>Meet Expectation</v>
      </c>
    </row>
    <row r="23" customFormat="false" ht="15" hidden="false" customHeight="false" outlineLevel="0" collapsed="false">
      <c r="A23" s="56" t="s">
        <v>203</v>
      </c>
    </row>
    <row r="24" customFormat="false" ht="15" hidden="false" customHeight="false" outlineLevel="0" collapsed="false">
      <c r="A24" s="38" t="s">
        <v>204</v>
      </c>
      <c r="B24" s="57" t="str">
        <f aca="false">'RAW DATA Q2 - 1'!FP10</f>
        <v>Yes</v>
      </c>
    </row>
    <row r="25" customFormat="false" ht="15" hidden="false" customHeight="false" outlineLevel="0" collapsed="false">
      <c r="A25" s="38" t="s">
        <v>205</v>
      </c>
      <c r="B25" s="57" t="str">
        <f aca="false">'RAW DATA Q2 - 1'!FQ10</f>
        <v>Yes</v>
      </c>
    </row>
    <row r="26" customFormat="false" ht="41.75" hidden="false" customHeight="false" outlineLevel="0" collapsed="false">
      <c r="A26" s="38" t="s">
        <v>206</v>
      </c>
      <c r="B26" s="57" t="str">
        <f aca="false">'RAW DATA Q2 - 1'!FR10</f>
        <v>Yes, DPIA completed and there are actions to be done by Project Owner</v>
      </c>
    </row>
    <row r="27" customFormat="false" ht="15" hidden="false" customHeight="false" outlineLevel="0" collapsed="false">
      <c r="A27" s="38" t="s">
        <v>207</v>
      </c>
      <c r="B27" s="57" t="str">
        <f aca="false">'RAW DATA Q2 - 1'!FS10</f>
        <v>No Implementation</v>
      </c>
    </row>
    <row r="28" customFormat="false" ht="41.75" hidden="false" customHeight="false" outlineLevel="0" collapsed="false">
      <c r="A28" s="38" t="s">
        <v>208</v>
      </c>
      <c r="B28" s="57" t="str">
        <f aca="false">'RAW DATA Q2 - 1'!FT10</f>
        <v>Yes, VSDDT completed and there are actions to be done by supplier</v>
      </c>
    </row>
    <row r="29" customFormat="false" ht="15" hidden="false" customHeight="false" outlineLevel="0" collapsed="false">
      <c r="A29" s="38" t="s">
        <v>209</v>
      </c>
    </row>
    <row r="31" customFormat="false" ht="15" hidden="false" customHeight="false" outlineLevel="0" collapsed="false">
      <c r="A31" s="56" t="s">
        <v>74</v>
      </c>
    </row>
    <row r="32" customFormat="false" ht="15" hidden="false" customHeight="false" outlineLevel="0" collapsed="false">
      <c r="B32" s="58" t="str">
        <f aca="false">'RAW DATA Q2 - 1'!FU10</f>
        <v>-</v>
      </c>
      <c r="C32" s="58"/>
      <c r="D32" s="58"/>
    </row>
  </sheetData>
  <mergeCells count="2">
    <mergeCell ref="A1:D1"/>
    <mergeCell ref="B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137</v>
      </c>
    </row>
    <row r="3" customFormat="false" ht="15" hidden="false" customHeight="false" outlineLevel="0" collapsed="false">
      <c r="A3" s="42" t="s">
        <v>56</v>
      </c>
      <c r="B3" s="38" t="s">
        <v>135</v>
      </c>
    </row>
    <row r="4" customFormat="false" ht="15" hidden="false" customHeight="false" outlineLevel="0" collapsed="false">
      <c r="A4" s="42" t="s">
        <v>191</v>
      </c>
      <c r="B4" s="38" t="s">
        <v>136</v>
      </c>
    </row>
    <row r="6" customFormat="false" ht="15" hidden="false" customHeight="false" outlineLevel="0" collapsed="false">
      <c r="A6" s="43" t="s">
        <v>78</v>
      </c>
      <c r="B6" s="43" t="s">
        <v>192</v>
      </c>
      <c r="C6" s="44" t="s">
        <v>193</v>
      </c>
      <c r="D6" s="43" t="s">
        <v>194</v>
      </c>
    </row>
    <row r="7" customFormat="false" ht="64.9" hidden="false" customHeight="false" outlineLevel="0" collapsed="false">
      <c r="A7" s="45" t="n">
        <v>1</v>
      </c>
      <c r="B7" s="45" t="s">
        <v>195</v>
      </c>
      <c r="C7" s="46" t="str">
        <f aca="false">'RAW DATA Q2 - 1'!EO$1</f>
        <v>How would you rate the Technical services that is used to penetrate the application which includes:
1. Technical Specification Design.
2. Hardware and capacity sizing for concurrent requests
3. Functi1</v>
      </c>
      <c r="D7" s="47" t="n">
        <f aca="false">'RAW DATA Q2 - 1'!EO9</f>
        <v>4</v>
      </c>
    </row>
    <row r="8" customFormat="false" ht="26.85" hidden="false" customHeight="false" outlineLevel="0" collapsed="false">
      <c r="A8" s="45" t="n">
        <v>2</v>
      </c>
      <c r="B8" s="45" t="s">
        <v>195</v>
      </c>
      <c r="C8" s="46" t="str">
        <f aca="false">'RAW DATA Q2 - 1'!EP$1</f>
        <v>How would you rate the after sales support capability and methodology?1</v>
      </c>
      <c r="D8" s="47" t="n">
        <f aca="false">'RAW DATA Q2 - 1'!EP9</f>
        <v>4</v>
      </c>
    </row>
    <row r="9" customFormat="false" ht="26.85" hidden="false" customHeight="false" outlineLevel="0" collapsed="false">
      <c r="A9" s="45" t="n">
        <v>3</v>
      </c>
      <c r="B9" s="45" t="s">
        <v>195</v>
      </c>
      <c r="C9" s="46" t="str">
        <f aca="false">'RAW DATA Q2 - 1'!EQ$1</f>
        <v>How would you rate the availability of documentation for product (user manual, troubleshoot document, setup document, etc)?</v>
      </c>
      <c r="D9" s="47" t="n">
        <f aca="false">'RAW DATA Q2 - 1'!EQ9</f>
        <v>4</v>
      </c>
    </row>
    <row r="10" customFormat="false" ht="26.85" hidden="false" customHeight="false" outlineLevel="0" collapsed="false">
      <c r="A10" s="48" t="n">
        <v>4</v>
      </c>
      <c r="B10" s="48" t="s">
        <v>196</v>
      </c>
      <c r="C10" s="49" t="str">
        <f aca="false">'RAW DATA Q2 - 1'!EU$1</f>
        <v>How would you rate the supplier's timeliness in delivering goods/services compared to the agreed-upon timeline?</v>
      </c>
      <c r="D10" s="50" t="n">
        <f aca="false">'RAW DATA Q2 - 1'!EU9</f>
        <v>4</v>
      </c>
    </row>
    <row r="11" customFormat="false" ht="15" hidden="false" customHeight="false" outlineLevel="0" collapsed="false">
      <c r="A11" s="48" t="n">
        <v>5</v>
      </c>
      <c r="B11" s="48" t="s">
        <v>196</v>
      </c>
      <c r="C11" s="49" t="str">
        <f aca="false">'RAW DATA Q2 - 1'!EV$1</f>
        <v>How would you rate the supplier's timeliness in sending reports to you?</v>
      </c>
      <c r="D11" s="50" t="n">
        <f aca="false">'RAW DATA Q2 - 1'!EV9</f>
        <v>4</v>
      </c>
    </row>
    <row r="12" customFormat="false" ht="26.85" hidden="false" customHeight="false" outlineLevel="0" collapsed="false">
      <c r="A12" s="48" t="n">
        <v>6</v>
      </c>
      <c r="B12" s="48" t="s">
        <v>196</v>
      </c>
      <c r="C12" s="49" t="str">
        <f aca="false">'RAW DATA Q2 - 1'!EW$1</f>
        <v>How would you rate the supplier's speed ​​of administrative completion, including completion of contracts draft?</v>
      </c>
      <c r="D12" s="50" t="n">
        <f aca="false">'RAW DATA Q2 - 1'!EW9</f>
        <v>4</v>
      </c>
    </row>
    <row r="13" customFormat="false" ht="15" hidden="false" customHeight="false" outlineLevel="0" collapsed="false">
      <c r="A13" s="51" t="n">
        <v>7</v>
      </c>
      <c r="B13" s="51" t="s">
        <v>197</v>
      </c>
      <c r="C13" s="52" t="str">
        <f aca="false">'RAW DATA Q2 - 1'!FM$1</f>
        <v>How would you rate the supplier's communication with you?</v>
      </c>
      <c r="D13" s="53" t="n">
        <f aca="false">'RAW DATA Q2 - 1'!FM9</f>
        <v>4</v>
      </c>
    </row>
    <row r="14" customFormat="false" ht="26.85" hidden="false" customHeight="false" outlineLevel="0" collapsed="false">
      <c r="A14" s="51" t="n">
        <v>8</v>
      </c>
      <c r="B14" s="51" t="s">
        <v>197</v>
      </c>
      <c r="C14" s="52" t="str">
        <f aca="false">'RAW DATA Q2 - 1'!FN$1</f>
        <v>How would you rate the supplier's PIC's availability to be contacted when needed?</v>
      </c>
      <c r="D14" s="53" t="n">
        <f aca="false">'RAW DATA Q2 - 1'!FN9</f>
        <v>4</v>
      </c>
    </row>
    <row r="15" customFormat="false" ht="39.55" hidden="false" customHeight="false" outlineLevel="0" collapsed="false">
      <c r="A15" s="51" t="n">
        <v>9</v>
      </c>
      <c r="B15" s="51" t="s">
        <v>197</v>
      </c>
      <c r="C15" s="52" t="str">
        <f aca="false">'RAW DATA Q2 - 1'!FO$1</f>
        <v>How would you rate the supplier's response speed to you when there are issues?
</v>
      </c>
      <c r="D15" s="53" t="n">
        <f aca="false">'RAW DATA Q2 - 1'!FO9</f>
        <v>4</v>
      </c>
    </row>
    <row r="17" customFormat="false" ht="15" hidden="false" customHeight="false" outlineLevel="0" collapsed="false">
      <c r="A17" s="42" t="s">
        <v>198</v>
      </c>
      <c r="B17" s="54" t="n">
        <f aca="false">AVERAGEIF(B7:B15,"Quality",D7:D15)</f>
        <v>4</v>
      </c>
    </row>
    <row r="18" customFormat="false" ht="15" hidden="false" customHeight="false" outlineLevel="0" collapsed="false">
      <c r="A18" s="42" t="s">
        <v>199</v>
      </c>
      <c r="B18" s="54" t="n">
        <f aca="false">AVERAGEIF(B7:B15,"Timeline",D7:D15)</f>
        <v>4</v>
      </c>
    </row>
    <row r="19" customFormat="false" ht="15" hidden="false" customHeight="false" outlineLevel="0" collapsed="false">
      <c r="A19" s="42" t="s">
        <v>200</v>
      </c>
      <c r="B19" s="54" t="n">
        <f aca="false">AVERAGEIF(B7:B15,"Relationship",D7:D15)</f>
        <v>4</v>
      </c>
    </row>
    <row r="20" customFormat="false" ht="15" hidden="false" customHeight="false" outlineLevel="0" collapsed="false">
      <c r="A20" s="42" t="s">
        <v>201</v>
      </c>
      <c r="B20" s="55" t="n">
        <f aca="false">B17*0.35+B18*0.35+B19*0.3</f>
        <v>4</v>
      </c>
    </row>
    <row r="21" customFormat="false" ht="15" hidden="false" customHeight="false" outlineLevel="0" collapsed="false">
      <c r="A21" s="42" t="s">
        <v>202</v>
      </c>
      <c r="B21" s="42" t="str">
        <f aca="false">IF(B20&gt;4.99,"Exceptional",IF(B20&gt;3.99,"Exceed Expectation",IF(B20&gt;=2.99,"Meet Expectation",IF(B20&gt;1.9,"Below Expectation","Unsatisfactory"))))</f>
        <v>Exceed Expectation</v>
      </c>
    </row>
    <row r="23" customFormat="false" ht="15" hidden="false" customHeight="false" outlineLevel="0" collapsed="false">
      <c r="A23" s="56" t="s">
        <v>203</v>
      </c>
    </row>
    <row r="24" customFormat="false" ht="15" hidden="false" customHeight="false" outlineLevel="0" collapsed="false">
      <c r="A24" s="38" t="s">
        <v>204</v>
      </c>
      <c r="B24" s="57" t="str">
        <f aca="false">'RAW DATA Q2 - 1'!FP9</f>
        <v>Yes</v>
      </c>
    </row>
    <row r="25" customFormat="false" ht="15" hidden="false" customHeight="false" outlineLevel="0" collapsed="false">
      <c r="A25" s="38" t="s">
        <v>205</v>
      </c>
      <c r="B25" s="57" t="str">
        <f aca="false">'RAW DATA Q2 - 1'!FQ9</f>
        <v>Yes</v>
      </c>
    </row>
    <row r="26" customFormat="false" ht="41.75" hidden="false" customHeight="false" outlineLevel="0" collapsed="false">
      <c r="A26" s="38" t="s">
        <v>206</v>
      </c>
      <c r="B26" s="57" t="str">
        <f aca="false">'RAW DATA Q2 - 1'!FR9</f>
        <v>Yes, DPIA completed and there are actions to be done by Project Owner</v>
      </c>
    </row>
    <row r="27" customFormat="false" ht="15" hidden="false" customHeight="false" outlineLevel="0" collapsed="false">
      <c r="A27" s="38" t="s">
        <v>207</v>
      </c>
      <c r="B27" s="57" t="str">
        <f aca="false">'RAW DATA Q2 - 1'!FS9</f>
        <v>No Implementation</v>
      </c>
    </row>
    <row r="28" customFormat="false" ht="41.75" hidden="false" customHeight="false" outlineLevel="0" collapsed="false">
      <c r="A28" s="38" t="s">
        <v>208</v>
      </c>
      <c r="B28" s="57" t="str">
        <f aca="false">'RAW DATA Q2 - 1'!FT9</f>
        <v>Yes, VSDDT completed and there are actions to be done by supplier</v>
      </c>
    </row>
    <row r="29" customFormat="false" ht="15" hidden="false" customHeight="false" outlineLevel="0" collapsed="false">
      <c r="A29" s="38" t="s">
        <v>209</v>
      </c>
    </row>
    <row r="31" customFormat="false" ht="15" hidden="false" customHeight="false" outlineLevel="0" collapsed="false">
      <c r="A31" s="56" t="s">
        <v>74</v>
      </c>
    </row>
    <row r="32" customFormat="false" ht="15" hidden="false" customHeight="false" outlineLevel="0" collapsed="false">
      <c r="B32" s="58" t="str">
        <f aca="false">'RAW DATA Q2 - 1'!FU9</f>
        <v>-</v>
      </c>
      <c r="C32" s="58"/>
      <c r="D32" s="58"/>
    </row>
  </sheetData>
  <mergeCells count="2">
    <mergeCell ref="A1:D1"/>
    <mergeCell ref="B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138</v>
      </c>
    </row>
    <row r="3" customFormat="false" ht="15" hidden="false" customHeight="false" outlineLevel="0" collapsed="false">
      <c r="A3" s="42" t="s">
        <v>56</v>
      </c>
      <c r="B3" s="38" t="s">
        <v>135</v>
      </c>
    </row>
    <row r="4" customFormat="false" ht="15" hidden="false" customHeight="false" outlineLevel="0" collapsed="false">
      <c r="A4" s="42" t="s">
        <v>191</v>
      </c>
      <c r="B4" s="38" t="s">
        <v>136</v>
      </c>
    </row>
    <row r="6" customFormat="false" ht="15" hidden="false" customHeight="false" outlineLevel="0" collapsed="false">
      <c r="A6" s="43" t="s">
        <v>78</v>
      </c>
      <c r="B6" s="43" t="s">
        <v>192</v>
      </c>
      <c r="C6" s="44" t="s">
        <v>193</v>
      </c>
      <c r="D6" s="43" t="s">
        <v>194</v>
      </c>
    </row>
    <row r="7" customFormat="false" ht="64.9" hidden="false" customHeight="false" outlineLevel="0" collapsed="false">
      <c r="A7" s="45" t="n">
        <v>1</v>
      </c>
      <c r="B7" s="45" t="s">
        <v>195</v>
      </c>
      <c r="C7" s="46" t="str">
        <f aca="false">'RAW DATA Q2 - 1'!EL$1</f>
        <v>How would you rate the Technical services that is used to penetrate the application which includes:
1. Technical Specification Design.
2. Hardware and capacity sizing for concurrent requests
3. Functi</v>
      </c>
      <c r="D7" s="47" t="n">
        <f aca="false">'RAW DATA Q2 - 1'!EL8</f>
        <v>4</v>
      </c>
    </row>
    <row r="8" customFormat="false" ht="15" hidden="false" customHeight="false" outlineLevel="0" collapsed="false">
      <c r="A8" s="45" t="n">
        <v>2</v>
      </c>
      <c r="B8" s="45" t="s">
        <v>195</v>
      </c>
      <c r="C8" s="46" t="str">
        <f aca="false">'RAW DATA Q2 - 1'!EM$1</f>
        <v>How would you rate the after sales support capability and methodology?</v>
      </c>
      <c r="D8" s="47" t="n">
        <f aca="false">'RAW DATA Q2 - 1'!EM8</f>
        <v>4</v>
      </c>
    </row>
    <row r="9" customFormat="false" ht="26.85" hidden="false" customHeight="false" outlineLevel="0" collapsed="false">
      <c r="A9" s="45" t="n">
        <v>3</v>
      </c>
      <c r="B9" s="45" t="s">
        <v>195</v>
      </c>
      <c r="C9" s="46" t="str">
        <f aca="false">'RAW DATA Q2 - 1'!EN$1</f>
        <v>How would you rate the availability of documentation for service (user manual, troubleshoot document, setup document, etc)?</v>
      </c>
      <c r="D9" s="47" t="n">
        <f aca="false">'RAW DATA Q2 - 1'!EN8</f>
        <v>4</v>
      </c>
    </row>
    <row r="10" customFormat="false" ht="26.85" hidden="false" customHeight="false" outlineLevel="0" collapsed="false">
      <c r="A10" s="48" t="n">
        <v>4</v>
      </c>
      <c r="B10" s="48" t="s">
        <v>196</v>
      </c>
      <c r="C10" s="49" t="str">
        <f aca="false">'RAW DATA Q2 - 1'!EU$1</f>
        <v>How would you rate the supplier's timeliness in delivering goods/services compared to the agreed-upon timeline?</v>
      </c>
      <c r="D10" s="50" t="n">
        <f aca="false">'RAW DATA Q2 - 1'!EU8</f>
        <v>4</v>
      </c>
    </row>
    <row r="11" customFormat="false" ht="15" hidden="false" customHeight="false" outlineLevel="0" collapsed="false">
      <c r="A11" s="48" t="n">
        <v>5</v>
      </c>
      <c r="B11" s="48" t="s">
        <v>196</v>
      </c>
      <c r="C11" s="49" t="str">
        <f aca="false">'RAW DATA Q2 - 1'!EV$1</f>
        <v>How would you rate the supplier's timeliness in sending reports to you?</v>
      </c>
      <c r="D11" s="50" t="n">
        <f aca="false">'RAW DATA Q2 - 1'!EV8</f>
        <v>4</v>
      </c>
    </row>
    <row r="12" customFormat="false" ht="26.85" hidden="false" customHeight="false" outlineLevel="0" collapsed="false">
      <c r="A12" s="48" t="n">
        <v>6</v>
      </c>
      <c r="B12" s="48" t="s">
        <v>196</v>
      </c>
      <c r="C12" s="49" t="str">
        <f aca="false">'RAW DATA Q2 - 1'!EW$1</f>
        <v>How would you rate the supplier's speed ​​of administrative completion, including completion of contracts draft?</v>
      </c>
      <c r="D12" s="50" t="n">
        <f aca="false">'RAW DATA Q2 - 1'!EW8</f>
        <v>4</v>
      </c>
    </row>
    <row r="13" customFormat="false" ht="15" hidden="false" customHeight="false" outlineLevel="0" collapsed="false">
      <c r="A13" s="51" t="n">
        <v>7</v>
      </c>
      <c r="B13" s="51" t="s">
        <v>197</v>
      </c>
      <c r="C13" s="52" t="str">
        <f aca="false">'RAW DATA Q2 - 1'!FM$1</f>
        <v>How would you rate the supplier's communication with you?</v>
      </c>
      <c r="D13" s="53" t="n">
        <f aca="false">'RAW DATA Q2 - 1'!FM8</f>
        <v>4</v>
      </c>
    </row>
    <row r="14" customFormat="false" ht="26.85" hidden="false" customHeight="false" outlineLevel="0" collapsed="false">
      <c r="A14" s="51" t="n">
        <v>8</v>
      </c>
      <c r="B14" s="51" t="s">
        <v>197</v>
      </c>
      <c r="C14" s="52" t="str">
        <f aca="false">'RAW DATA Q2 - 1'!FN$1</f>
        <v>How would you rate the supplier's PIC's availability to be contacted when needed?</v>
      </c>
      <c r="D14" s="53" t="n">
        <f aca="false">'RAW DATA Q2 - 1'!FN8</f>
        <v>4</v>
      </c>
    </row>
    <row r="15" customFormat="false" ht="39.55" hidden="false" customHeight="false" outlineLevel="0" collapsed="false">
      <c r="A15" s="51" t="n">
        <v>9</v>
      </c>
      <c r="B15" s="51" t="s">
        <v>197</v>
      </c>
      <c r="C15" s="52" t="str">
        <f aca="false">'RAW DATA Q2 - 1'!FO$1</f>
        <v>How would you rate the supplier's response speed to you when there are issues?
</v>
      </c>
      <c r="D15" s="53" t="n">
        <f aca="false">'RAW DATA Q2 - 1'!FO8</f>
        <v>4</v>
      </c>
    </row>
    <row r="17" customFormat="false" ht="15" hidden="false" customHeight="false" outlineLevel="0" collapsed="false">
      <c r="A17" s="42" t="s">
        <v>198</v>
      </c>
      <c r="B17" s="54" t="n">
        <f aca="false">AVERAGEIF(B7:B15,"Quality",D7:D15)</f>
        <v>4</v>
      </c>
    </row>
    <row r="18" customFormat="false" ht="15" hidden="false" customHeight="false" outlineLevel="0" collapsed="false">
      <c r="A18" s="42" t="s">
        <v>199</v>
      </c>
      <c r="B18" s="54" t="n">
        <f aca="false">AVERAGEIF(B7:B15,"Timeline",D7:D15)</f>
        <v>4</v>
      </c>
    </row>
    <row r="19" customFormat="false" ht="15" hidden="false" customHeight="false" outlineLevel="0" collapsed="false">
      <c r="A19" s="42" t="s">
        <v>200</v>
      </c>
      <c r="B19" s="54" t="n">
        <f aca="false">AVERAGEIF(B7:B15,"Relationship",D7:D15)</f>
        <v>4</v>
      </c>
    </row>
    <row r="20" customFormat="false" ht="15" hidden="false" customHeight="false" outlineLevel="0" collapsed="false">
      <c r="A20" s="42" t="s">
        <v>201</v>
      </c>
      <c r="B20" s="55" t="n">
        <f aca="false">B17*0.35+B18*0.35+B19*0.3</f>
        <v>4</v>
      </c>
    </row>
    <row r="21" customFormat="false" ht="15" hidden="false" customHeight="false" outlineLevel="0" collapsed="false">
      <c r="A21" s="42" t="s">
        <v>202</v>
      </c>
      <c r="B21" s="42" t="str">
        <f aca="false">IF(B20&gt;4.99,"Exceptional",IF(B20&gt;3.99,"Exceed Expectation",IF(B20&gt;=2.99,"Meet Expectation",IF(B20&gt;1.9,"Below Expectation","Unsatisfactory"))))</f>
        <v>Exceed Expectation</v>
      </c>
    </row>
    <row r="23" customFormat="false" ht="15" hidden="false" customHeight="false" outlineLevel="0" collapsed="false">
      <c r="A23" s="56" t="s">
        <v>203</v>
      </c>
    </row>
    <row r="24" customFormat="false" ht="15" hidden="false" customHeight="false" outlineLevel="0" collapsed="false">
      <c r="A24" s="38" t="s">
        <v>204</v>
      </c>
      <c r="B24" s="57" t="str">
        <f aca="false">'RAW DATA Q2 - 1'!FP8</f>
        <v>Yes</v>
      </c>
    </row>
    <row r="25" customFormat="false" ht="15" hidden="false" customHeight="false" outlineLevel="0" collapsed="false">
      <c r="A25" s="38" t="s">
        <v>205</v>
      </c>
      <c r="B25" s="57" t="str">
        <f aca="false">'RAW DATA Q2 - 1'!FQ8</f>
        <v>Yes</v>
      </c>
    </row>
    <row r="26" customFormat="false" ht="41.75" hidden="false" customHeight="false" outlineLevel="0" collapsed="false">
      <c r="A26" s="38" t="s">
        <v>206</v>
      </c>
      <c r="B26" s="57" t="str">
        <f aca="false">'RAW DATA Q2 - 1'!FR8</f>
        <v>Yes, DPIA completed and there are actions to be done by Project Owner</v>
      </c>
    </row>
    <row r="27" customFormat="false" ht="15" hidden="false" customHeight="false" outlineLevel="0" collapsed="false">
      <c r="A27" s="38" t="s">
        <v>207</v>
      </c>
      <c r="B27" s="57" t="str">
        <f aca="false">'RAW DATA Q2 - 1'!FS8</f>
        <v>No Implementation</v>
      </c>
    </row>
    <row r="28" customFormat="false" ht="41.75" hidden="false" customHeight="false" outlineLevel="0" collapsed="false">
      <c r="A28" s="38" t="s">
        <v>208</v>
      </c>
      <c r="B28" s="57" t="str">
        <f aca="false">'RAW DATA Q2 - 1'!FT8</f>
        <v>Yes, VSDDT completed and there are actions to be done by supplier</v>
      </c>
    </row>
    <row r="29" customFormat="false" ht="15" hidden="false" customHeight="false" outlineLevel="0" collapsed="false">
      <c r="A29" s="38" t="s">
        <v>209</v>
      </c>
    </row>
    <row r="31" customFormat="false" ht="15" hidden="false" customHeight="false" outlineLevel="0" collapsed="false">
      <c r="A31" s="56" t="s">
        <v>74</v>
      </c>
    </row>
    <row r="32" customFormat="false" ht="15" hidden="false" customHeight="false" outlineLevel="0" collapsed="false">
      <c r="B32" s="58" t="str">
        <f aca="false">'RAW DATA Q2 - 1'!FU8</f>
        <v>-</v>
      </c>
      <c r="C32" s="58"/>
      <c r="D32" s="58"/>
    </row>
  </sheetData>
  <mergeCells count="2">
    <mergeCell ref="A1:D1"/>
    <mergeCell ref="B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139</v>
      </c>
    </row>
    <row r="3" customFormat="false" ht="15" hidden="false" customHeight="false" outlineLevel="0" collapsed="false">
      <c r="A3" s="42" t="s">
        <v>56</v>
      </c>
      <c r="B3" s="38" t="s">
        <v>140</v>
      </c>
    </row>
    <row r="4" customFormat="false" ht="15" hidden="false" customHeight="false" outlineLevel="0" collapsed="false">
      <c r="A4" s="42" t="s">
        <v>191</v>
      </c>
      <c r="B4" s="38" t="s">
        <v>141</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Q2 - 1'!DX$1</f>
        <v>How would you rate the goods/services provided by the Supplier against the agreed standards?1</v>
      </c>
      <c r="D7" s="47" t="n">
        <f aca="false">'RAW DATA Q2 - 1'!DX11</f>
        <v>3</v>
      </c>
    </row>
    <row r="8" customFormat="false" ht="15" hidden="false" customHeight="false" outlineLevel="0" collapsed="false">
      <c r="A8" s="45" t="n">
        <v>2</v>
      </c>
      <c r="B8" s="45" t="s">
        <v>195</v>
      </c>
      <c r="C8" s="46" t="str">
        <f aca="false">'RAW DATA Q2 - 1'!DY$1</f>
        <v>How would you rate the accuracy of the data in the Supplier's reports?6</v>
      </c>
      <c r="D8" s="47" t="n">
        <f aca="false">'RAW DATA Q2 - 1'!DY11</f>
        <v>4</v>
      </c>
    </row>
    <row r="9" customFormat="false" ht="26.85" hidden="false" customHeight="false" outlineLevel="0" collapsed="false">
      <c r="A9" s="45" t="n">
        <v>3</v>
      </c>
      <c r="B9" s="45" t="s">
        <v>195</v>
      </c>
      <c r="C9" s="46" t="str">
        <f aca="false">'RAW DATA Q2 - 1'!DZ$1</f>
        <v>How would you rate overall quality of the work reports provided by the Supplier?6</v>
      </c>
      <c r="D9" s="47" t="n">
        <f aca="false">'RAW DATA Q2 - 1'!DZ11</f>
        <v>3</v>
      </c>
    </row>
    <row r="10" customFormat="false" ht="15" hidden="false" customHeight="false" outlineLevel="0" collapsed="false">
      <c r="A10" s="45" t="n">
        <v>4</v>
      </c>
      <c r="B10" s="45" t="s">
        <v>195</v>
      </c>
      <c r="C10" s="46" t="str">
        <f aca="false">'RAW DATA Q2 - 1'!EA$1</f>
        <v>How would you rate the solutions provided when there is trouble?6</v>
      </c>
      <c r="D10" s="47" t="n">
        <f aca="false">'RAW DATA Q2 - 1'!EA11</f>
        <v>3</v>
      </c>
    </row>
    <row r="11" customFormat="false" ht="15" hidden="false" customHeight="false" outlineLevel="0" collapsed="false">
      <c r="A11" s="45" t="n">
        <v>5</v>
      </c>
      <c r="B11" s="45" t="s">
        <v>195</v>
      </c>
      <c r="C11" s="46" t="str">
        <f aca="false">'RAW DATA Q2 - 1'!EB$1</f>
        <v>How would you rate the resolution to the problem that occurred?6</v>
      </c>
      <c r="D11" s="47" t="n">
        <f aca="false">'RAW DATA Q2 - 1'!EB11</f>
        <v>3</v>
      </c>
    </row>
    <row r="12" customFormat="false" ht="26.85" hidden="false" customHeight="false" outlineLevel="0" collapsed="false">
      <c r="A12" s="45" t="n">
        <v>6</v>
      </c>
      <c r="B12" s="45" t="s">
        <v>195</v>
      </c>
      <c r="C12" s="46" t="str">
        <f aca="false">'RAW DATA Q2 - 1'!EC$1</f>
        <v>How would you rate the supplier initiative to take mitigation/preventive action to prevent the problem from recurring?7</v>
      </c>
      <c r="D12" s="47" t="n">
        <f aca="false">'RAW DATA Q2 - 1'!EC11</f>
        <v>3</v>
      </c>
    </row>
    <row r="13" customFormat="false" ht="15" hidden="false" customHeight="false" outlineLevel="0" collapsed="false">
      <c r="A13" s="45" t="n">
        <v>7</v>
      </c>
      <c r="B13" s="45" t="s">
        <v>195</v>
      </c>
      <c r="C13" s="46" t="str">
        <f aca="false">'RAW DATA Q2 - 1'!ED$1</f>
        <v>How would you rate the service provided?</v>
      </c>
      <c r="D13" s="47" t="n">
        <f aca="false">'RAW DATA Q2 - 1'!ED11</f>
        <v>3</v>
      </c>
    </row>
    <row r="14" customFormat="false" ht="15" hidden="false" customHeight="false" outlineLevel="0" collapsed="false">
      <c r="A14" s="45" t="n">
        <v>8</v>
      </c>
      <c r="B14" s="45" t="s">
        <v>195</v>
      </c>
      <c r="C14" s="46" t="str">
        <f aca="false">'RAW DATA Q2 - 1'!EE$1</f>
        <v>How would you rate the Complaint Handling?</v>
      </c>
      <c r="D14" s="47" t="n">
        <f aca="false">'RAW DATA Q2 - 1'!EE11</f>
        <v>3</v>
      </c>
    </row>
    <row r="15" customFormat="false" ht="26.85" hidden="false" customHeight="false" outlineLevel="0" collapsed="false">
      <c r="A15" s="48" t="n">
        <v>9</v>
      </c>
      <c r="B15" s="48" t="s">
        <v>196</v>
      </c>
      <c r="C15" s="49" t="str">
        <f aca="false">'RAW DATA Q2 - 1'!EU$1</f>
        <v>How would you rate the supplier's timeliness in delivering goods/services compared to the agreed-upon timeline?</v>
      </c>
      <c r="D15" s="50" t="n">
        <f aca="false">'RAW DATA Q2 - 1'!EU11</f>
        <v>3</v>
      </c>
    </row>
    <row r="16" customFormat="false" ht="15" hidden="false" customHeight="false" outlineLevel="0" collapsed="false">
      <c r="A16" s="48" t="n">
        <v>10</v>
      </c>
      <c r="B16" s="48" t="s">
        <v>196</v>
      </c>
      <c r="C16" s="49" t="str">
        <f aca="false">'RAW DATA Q2 - 1'!EV$1</f>
        <v>How would you rate the supplier's timeliness in sending reports to you?</v>
      </c>
      <c r="D16" s="50" t="n">
        <f aca="false">'RAW DATA Q2 - 1'!EV11</f>
        <v>3</v>
      </c>
    </row>
    <row r="17" customFormat="false" ht="26.85" hidden="false" customHeight="false" outlineLevel="0" collapsed="false">
      <c r="A17" s="48" t="n">
        <v>11</v>
      </c>
      <c r="B17" s="48" t="s">
        <v>196</v>
      </c>
      <c r="C17" s="49" t="str">
        <f aca="false">'RAW DATA Q2 - 1'!EW$1</f>
        <v>How would you rate the supplier's speed ​​of administrative completion, including completion of contracts draft?</v>
      </c>
      <c r="D17" s="50" t="n">
        <f aca="false">'RAW DATA Q2 - 1'!EW11</f>
        <v>3</v>
      </c>
    </row>
    <row r="18" customFormat="false" ht="15" hidden="false" customHeight="false" outlineLevel="0" collapsed="false">
      <c r="A18" s="51" t="n">
        <v>12</v>
      </c>
      <c r="B18" s="51" t="s">
        <v>197</v>
      </c>
      <c r="C18" s="52" t="str">
        <f aca="false">'RAW DATA Q2 - 1'!FM$1</f>
        <v>How would you rate the supplier's communication with you?</v>
      </c>
      <c r="D18" s="53" t="n">
        <f aca="false">'RAW DATA Q2 - 1'!FM11</f>
        <v>3</v>
      </c>
    </row>
    <row r="19" customFormat="false" ht="26.85" hidden="false" customHeight="false" outlineLevel="0" collapsed="false">
      <c r="A19" s="51" t="n">
        <v>13</v>
      </c>
      <c r="B19" s="51" t="s">
        <v>197</v>
      </c>
      <c r="C19" s="52" t="str">
        <f aca="false">'RAW DATA Q2 - 1'!FN$1</f>
        <v>How would you rate the supplier's PIC's availability to be contacted when needed?</v>
      </c>
      <c r="D19" s="53" t="n">
        <f aca="false">'RAW DATA Q2 - 1'!FN11</f>
        <v>3</v>
      </c>
    </row>
    <row r="20" customFormat="false" ht="39.55" hidden="false" customHeight="false" outlineLevel="0" collapsed="false">
      <c r="A20" s="51" t="n">
        <v>14</v>
      </c>
      <c r="B20" s="51" t="s">
        <v>197</v>
      </c>
      <c r="C20" s="52" t="str">
        <f aca="false">'RAW DATA Q2 - 1'!FO$1</f>
        <v>How would you rate the supplier's response speed to you when there are issues?
</v>
      </c>
      <c r="D20" s="53" t="n">
        <f aca="false">'RAW DATA Q2 - 1'!FO11</f>
        <v>3</v>
      </c>
    </row>
    <row r="22" customFormat="false" ht="15" hidden="false" customHeight="false" outlineLevel="0" collapsed="false">
      <c r="A22" s="42" t="s">
        <v>198</v>
      </c>
      <c r="B22" s="54" t="n">
        <f aca="false">AVERAGEIF(B7:B20,"Quality",D7:D20)</f>
        <v>3.125</v>
      </c>
    </row>
    <row r="23" customFormat="false" ht="15" hidden="false" customHeight="false" outlineLevel="0" collapsed="false">
      <c r="A23" s="42" t="s">
        <v>199</v>
      </c>
      <c r="B23" s="54" t="n">
        <f aca="false">AVERAGEIF(B7:B20,"Timeline",D7:D20)</f>
        <v>3</v>
      </c>
    </row>
    <row r="24" customFormat="false" ht="15" hidden="false" customHeight="false" outlineLevel="0" collapsed="false">
      <c r="A24" s="42" t="s">
        <v>200</v>
      </c>
      <c r="B24" s="54" t="n">
        <f aca="false">AVERAGEIF(B7:B20,"Relationship",D7:D20)</f>
        <v>3</v>
      </c>
    </row>
    <row r="25" customFormat="false" ht="15" hidden="false" customHeight="false" outlineLevel="0" collapsed="false">
      <c r="A25" s="42" t="s">
        <v>201</v>
      </c>
      <c r="B25" s="55" t="n">
        <f aca="false">B22*0.35+B23*0.35+B24*0.3</f>
        <v>3.04375</v>
      </c>
    </row>
    <row r="26" customFormat="false" ht="15" hidden="false" customHeight="false" outlineLevel="0" collapsed="false">
      <c r="A26" s="42" t="s">
        <v>202</v>
      </c>
      <c r="B26" s="42" t="str">
        <f aca="false">IF(B25&gt;4.99,"Exceptional",IF(B25&gt;3.99,"Exceed Expectation",IF(B25&gt;=2.99,"Meet Expectation",IF(B25&gt;1.9,"Below Expectation","Unsatisfactory"))))</f>
        <v>Meet Expectation</v>
      </c>
    </row>
    <row r="28" customFormat="false" ht="15" hidden="false" customHeight="false" outlineLevel="0" collapsed="false">
      <c r="A28" s="56" t="s">
        <v>203</v>
      </c>
    </row>
    <row r="29" customFormat="false" ht="15" hidden="false" customHeight="false" outlineLevel="0" collapsed="false">
      <c r="A29" s="38" t="s">
        <v>204</v>
      </c>
      <c r="B29" s="57" t="str">
        <f aca="false">'RAW DATA Q2 - 1'!FP11</f>
        <v>Yes</v>
      </c>
    </row>
    <row r="30" customFormat="false" ht="15" hidden="false" customHeight="false" outlineLevel="0" collapsed="false">
      <c r="A30" s="38" t="s">
        <v>205</v>
      </c>
      <c r="B30" s="57" t="str">
        <f aca="false">'RAW DATA Q2 - 1'!FQ11</f>
        <v>Yes</v>
      </c>
    </row>
    <row r="31" customFormat="false" ht="41.75" hidden="false" customHeight="false" outlineLevel="0" collapsed="false">
      <c r="A31" s="38" t="s">
        <v>206</v>
      </c>
      <c r="B31" s="57" t="str">
        <f aca="false">'RAW DATA Q2 - 1'!FR11</f>
        <v>Yes, DPIA completed and there are actions to be done by Project Owner</v>
      </c>
    </row>
    <row r="32" customFormat="false" ht="15" hidden="false" customHeight="false" outlineLevel="0" collapsed="false">
      <c r="A32" s="38" t="s">
        <v>207</v>
      </c>
      <c r="B32" s="57" t="str">
        <f aca="false">'RAW DATA Q2 - 1'!FS11</f>
        <v>No Implementation</v>
      </c>
    </row>
    <row r="33" customFormat="false" ht="41.75" hidden="false" customHeight="false" outlineLevel="0" collapsed="false">
      <c r="A33" s="38" t="s">
        <v>208</v>
      </c>
      <c r="B33" s="57" t="str">
        <f aca="false">'RAW DATA Q2 - 1'!FT11</f>
        <v>Yes, VSDDT completed and there are actions to be done by supplier</v>
      </c>
    </row>
    <row r="34" customFormat="false" ht="15" hidden="false" customHeight="false" outlineLevel="0" collapsed="false">
      <c r="A34" s="38" t="s">
        <v>209</v>
      </c>
    </row>
    <row r="36" customFormat="false" ht="15" hidden="false" customHeight="false" outlineLevel="0" collapsed="false">
      <c r="A36" s="56" t="s">
        <v>74</v>
      </c>
    </row>
    <row r="37" customFormat="false" ht="15" hidden="false" customHeight="false" outlineLevel="0" collapsed="false">
      <c r="B37" s="58" t="str">
        <f aca="false">'RAW DATA Q2 - 1'!FU11</f>
        <v>improve inisiatsis</v>
      </c>
      <c r="C37" s="58"/>
      <c r="D37" s="58"/>
    </row>
  </sheetData>
  <mergeCells count="2">
    <mergeCell ref="A1:D1"/>
    <mergeCell ref="B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210</v>
      </c>
    </row>
    <row r="3" customFormat="false" ht="15" hidden="false" customHeight="false" outlineLevel="0" collapsed="false">
      <c r="A3" s="42" t="s">
        <v>56</v>
      </c>
      <c r="B3" s="38"/>
    </row>
    <row r="4" customFormat="false" ht="15" hidden="false" customHeight="false" outlineLevel="0" collapsed="false">
      <c r="A4" s="42" t="s">
        <v>191</v>
      </c>
      <c r="B4" s="38" t="s">
        <v>144</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Q2 - 1'!AA$1</f>
        <v>How would you rate Supplier's ability to understand and meet your needs?1</v>
      </c>
      <c r="D7" s="47" t="n">
        <f aca="false">'RAW DATA Q2 - 1'!AA5</f>
        <v>3</v>
      </c>
    </row>
    <row r="8" customFormat="false" ht="26.85" hidden="false" customHeight="false" outlineLevel="0" collapsed="false">
      <c r="A8" s="45" t="n">
        <v>2</v>
      </c>
      <c r="B8" s="45" t="s">
        <v>195</v>
      </c>
      <c r="C8" s="46" t="str">
        <f aca="false">'RAW DATA Q2 - 1'!AB$1</f>
        <v>How would you rate the goods/services provided by the Supplier against the agreed standards?</v>
      </c>
      <c r="D8" s="47" t="n">
        <f aca="false">'RAW DATA Q2 - 1'!AB5</f>
        <v>3</v>
      </c>
    </row>
    <row r="9" customFormat="false" ht="15" hidden="false" customHeight="false" outlineLevel="0" collapsed="false">
      <c r="A9" s="45" t="n">
        <v>3</v>
      </c>
      <c r="B9" s="45" t="s">
        <v>195</v>
      </c>
      <c r="C9" s="46" t="str">
        <f aca="false">'RAW DATA Q2 - 1'!AC$1</f>
        <v>How would you rate the accuracy of the data in the Supplier's reports?</v>
      </c>
      <c r="D9" s="47" t="n">
        <f aca="false">'RAW DATA Q2 - 1'!AC5</f>
        <v>3</v>
      </c>
    </row>
    <row r="10" customFormat="false" ht="26.85" hidden="false" customHeight="false" outlineLevel="0" collapsed="false">
      <c r="A10" s="45" t="n">
        <v>4</v>
      </c>
      <c r="B10" s="45" t="s">
        <v>195</v>
      </c>
      <c r="C10" s="46" t="str">
        <f aca="false">'RAW DATA Q2 - 1'!AD$1</f>
        <v>How would you rate overall quality of the work reports provided by the Supplier?</v>
      </c>
      <c r="D10" s="47" t="n">
        <f aca="false">'RAW DATA Q2 - 1'!AD5</f>
        <v>3</v>
      </c>
    </row>
    <row r="11" customFormat="false" ht="15" hidden="false" customHeight="false" outlineLevel="0" collapsed="false">
      <c r="A11" s="45" t="n">
        <v>5</v>
      </c>
      <c r="B11" s="45" t="s">
        <v>195</v>
      </c>
      <c r="C11" s="46" t="str">
        <f aca="false">'RAW DATA Q2 - 1'!AE$1</f>
        <v>How would you rate the solutions provided when there is trouble?</v>
      </c>
      <c r="D11" s="47" t="n">
        <f aca="false">'RAW DATA Q2 - 1'!AE5</f>
        <v>3</v>
      </c>
    </row>
    <row r="12" customFormat="false" ht="15" hidden="false" customHeight="false" outlineLevel="0" collapsed="false">
      <c r="A12" s="45" t="n">
        <v>6</v>
      </c>
      <c r="B12" s="45" t="s">
        <v>195</v>
      </c>
      <c r="C12" s="46" t="str">
        <f aca="false">'RAW DATA Q2 - 1'!AF$1</f>
        <v>How would you rate the resolution to the problem that occurred?</v>
      </c>
      <c r="D12" s="47" t="n">
        <f aca="false">'RAW DATA Q2 - 1'!AF5</f>
        <v>3</v>
      </c>
    </row>
    <row r="13" customFormat="false" ht="26.85" hidden="false" customHeight="false" outlineLevel="0" collapsed="false">
      <c r="A13" s="45" t="n">
        <v>7</v>
      </c>
      <c r="B13" s="45" t="s">
        <v>195</v>
      </c>
      <c r="C13" s="46" t="str">
        <f aca="false">'RAW DATA Q2 - 1'!AG$1</f>
        <v>How would you rate the speed of resolution given to problems that occur?</v>
      </c>
      <c r="D13" s="47" t="n">
        <f aca="false">'RAW DATA Q2 - 1'!AG5</f>
        <v>3</v>
      </c>
    </row>
    <row r="14" customFormat="false" ht="26.85" hidden="false" customHeight="false" outlineLevel="0" collapsed="false">
      <c r="A14" s="45" t="n">
        <v>8</v>
      </c>
      <c r="B14" s="45" t="s">
        <v>195</v>
      </c>
      <c r="C14" s="46" t="str">
        <f aca="false">'RAW DATA Q2 - 1'!AH$1</f>
        <v>How would you rate the supplier initiative to take mitigation/preventive action to prevent the problem from recurring?</v>
      </c>
      <c r="D14" s="47" t="n">
        <f aca="false">'RAW DATA Q2 - 1'!AH5</f>
        <v>3</v>
      </c>
    </row>
    <row r="15" customFormat="false" ht="26.85" hidden="false" customHeight="false" outlineLevel="0" collapsed="false">
      <c r="A15" s="45" t="n">
        <v>9</v>
      </c>
      <c r="B15" s="45" t="s">
        <v>195</v>
      </c>
      <c r="C15" s="46" t="str">
        <f aca="false">'RAW DATA Q2 - 1'!AI$1</f>
        <v>How would you rate supplier compliance with administrative processes, including completion of draft cooperation contract?1</v>
      </c>
      <c r="D15" s="47" t="n">
        <f aca="false">'RAW DATA Q2 - 1'!AI5</f>
        <v>3</v>
      </c>
    </row>
    <row r="16" customFormat="false" ht="15" hidden="false" customHeight="false" outlineLevel="0" collapsed="false">
      <c r="A16" s="45" t="n">
        <v>10</v>
      </c>
      <c r="B16" s="45" t="s">
        <v>195</v>
      </c>
      <c r="C16" s="46" t="str">
        <f aca="false">'RAW DATA Q2 - 1'!AJ$1</f>
        <v>How would you rate the Implementation of UAT?</v>
      </c>
      <c r="D16" s="47" t="n">
        <f aca="false">'RAW DATA Q2 - 1'!AJ5</f>
        <v>3</v>
      </c>
    </row>
    <row r="17" customFormat="false" ht="26.85" hidden="false" customHeight="false" outlineLevel="0" collapsed="false">
      <c r="A17" s="45" t="n">
        <v>11</v>
      </c>
      <c r="B17" s="45" t="s">
        <v>195</v>
      </c>
      <c r="C17" s="46" t="str">
        <f aca="false">'RAW DATA Q2 - 1'!AK$1</f>
        <v>How would you rate the maintenance includes bug fixing and support for system problems that occur in the JATIS MOBILE application/service?</v>
      </c>
      <c r="D17" s="47" t="n">
        <f aca="false">'RAW DATA Q2 - 1'!AK5</f>
        <v>3</v>
      </c>
    </row>
    <row r="18" customFormat="false" ht="26.85" hidden="false" customHeight="false" outlineLevel="0" collapsed="false">
      <c r="A18" s="48" t="n">
        <v>12</v>
      </c>
      <c r="B18" s="48" t="s">
        <v>196</v>
      </c>
      <c r="C18" s="49" t="str">
        <f aca="false">'RAW DATA Q2 - 1'!EX$1</f>
        <v>How would you rate the supplier's timeliness in delivering goods/services compared to the agreed-upon timeline?1</v>
      </c>
      <c r="D18" s="50" t="n">
        <f aca="false">'RAW DATA Q2 - 1'!EX5</f>
        <v>3</v>
      </c>
    </row>
    <row r="19" customFormat="false" ht="26.85" hidden="false" customHeight="false" outlineLevel="0" collapsed="false">
      <c r="A19" s="48" t="n">
        <v>13</v>
      </c>
      <c r="B19" s="48" t="s">
        <v>196</v>
      </c>
      <c r="C19" s="49" t="str">
        <f aca="false">'RAW DATA Q2 - 1'!EY$1</f>
        <v>How would you rate the supplier's timeliness in sending reports to you?
</v>
      </c>
      <c r="D19" s="50" t="n">
        <f aca="false">'RAW DATA Q2 - 1'!EY5</f>
        <v>3</v>
      </c>
    </row>
    <row r="20" customFormat="false" ht="26.85" hidden="false" customHeight="false" outlineLevel="0" collapsed="false">
      <c r="A20" s="48" t="n">
        <v>14</v>
      </c>
      <c r="B20" s="48" t="s">
        <v>196</v>
      </c>
      <c r="C20" s="49" t="str">
        <f aca="false">'RAW DATA Q2 - 1'!EZ$1</f>
        <v>How would you rate the supplier's Traffic Confirmation SLA Fulfillment?
</v>
      </c>
      <c r="D20" s="50" t="n">
        <f aca="false">'RAW DATA Q2 - 1'!EZ5</f>
        <v>3</v>
      </c>
    </row>
    <row r="21" customFormat="false" ht="39.55" hidden="false" customHeight="false" outlineLevel="0" collapsed="false">
      <c r="A21" s="48" t="n">
        <v>15</v>
      </c>
      <c r="B21" s="48" t="s">
        <v>196</v>
      </c>
      <c r="C21" s="49" t="str">
        <f aca="false">'RAW DATA Q2 - 1'!FA$1</f>
        <v>How would you rate the supplier's speed ​​of administrative completion, including completion of contracts draft?
</v>
      </c>
      <c r="D21" s="50" t="n">
        <f aca="false">'RAW DATA Q2 - 1'!FA5</f>
        <v>3</v>
      </c>
    </row>
    <row r="22" customFormat="false" ht="15" hidden="false" customHeight="false" outlineLevel="0" collapsed="false">
      <c r="A22" s="51" t="n">
        <v>16</v>
      </c>
      <c r="B22" s="51" t="s">
        <v>197</v>
      </c>
      <c r="C22" s="52" t="str">
        <f aca="false">'RAW DATA Q2 - 1'!FM$1</f>
        <v>How would you rate the supplier's communication with you?</v>
      </c>
      <c r="D22" s="53" t="n">
        <f aca="false">'RAW DATA Q2 - 1'!FM5</f>
        <v>3</v>
      </c>
    </row>
    <row r="23" customFormat="false" ht="26.85" hidden="false" customHeight="false" outlineLevel="0" collapsed="false">
      <c r="A23" s="51" t="n">
        <v>17</v>
      </c>
      <c r="B23" s="51" t="s">
        <v>197</v>
      </c>
      <c r="C23" s="52" t="str">
        <f aca="false">'RAW DATA Q2 - 1'!FN$1</f>
        <v>How would you rate the supplier's PIC's availability to be contacted when needed?</v>
      </c>
      <c r="D23" s="53" t="n">
        <f aca="false">'RAW DATA Q2 - 1'!FN5</f>
        <v>3</v>
      </c>
    </row>
    <row r="24" customFormat="false" ht="39.55" hidden="false" customHeight="false" outlineLevel="0" collapsed="false">
      <c r="A24" s="51" t="n">
        <v>18</v>
      </c>
      <c r="B24" s="51" t="s">
        <v>197</v>
      </c>
      <c r="C24" s="52" t="str">
        <f aca="false">'RAW DATA Q2 - 1'!FO$1</f>
        <v>How would you rate the supplier's response speed to you when there are issues?
</v>
      </c>
      <c r="D24" s="53" t="n">
        <f aca="false">'RAW DATA Q2 - 1'!FO5</f>
        <v>3</v>
      </c>
    </row>
    <row r="26" customFormat="false" ht="15" hidden="false" customHeight="false" outlineLevel="0" collapsed="false">
      <c r="A26" s="42" t="s">
        <v>198</v>
      </c>
      <c r="B26" s="54" t="n">
        <f aca="false">AVERAGEIF(B7:B24,"Quality",D7:D24)</f>
        <v>3</v>
      </c>
    </row>
    <row r="27" customFormat="false" ht="15" hidden="false" customHeight="false" outlineLevel="0" collapsed="false">
      <c r="A27" s="42" t="s">
        <v>199</v>
      </c>
      <c r="B27" s="54" t="n">
        <f aca="false">AVERAGEIF(B7:B24,"Timeline",D7:D24)</f>
        <v>3</v>
      </c>
    </row>
    <row r="28" customFormat="false" ht="15" hidden="false" customHeight="false" outlineLevel="0" collapsed="false">
      <c r="A28" s="42" t="s">
        <v>200</v>
      </c>
      <c r="B28" s="54" t="n">
        <f aca="false">AVERAGEIF(B7:B24,"Relationship",D7:D24)</f>
        <v>3</v>
      </c>
    </row>
    <row r="29" customFormat="false" ht="15" hidden="false" customHeight="false" outlineLevel="0" collapsed="false">
      <c r="A29" s="42" t="s">
        <v>201</v>
      </c>
      <c r="B29" s="55" t="n">
        <f aca="false">B26*0.35+B27*0.35+B28*0.3</f>
        <v>3</v>
      </c>
    </row>
    <row r="30" customFormat="false" ht="15" hidden="false" customHeight="false" outlineLevel="0" collapsed="false">
      <c r="A30" s="42" t="s">
        <v>202</v>
      </c>
      <c r="B30" s="42" t="str">
        <f aca="false">IF(B29&gt;4.99,"Exceptional",IF(B29&gt;3.99,"Exceed Expectation",IF(B29&gt;=2.99,"Meet Expectation",IF(B29&gt;1.9,"Below Expectation","Unsatisfactory"))))</f>
        <v>Meet Expectation</v>
      </c>
    </row>
    <row r="32" customFormat="false" ht="15" hidden="false" customHeight="false" outlineLevel="0" collapsed="false">
      <c r="A32" s="56" t="s">
        <v>203</v>
      </c>
    </row>
    <row r="33" customFormat="false" ht="15" hidden="false" customHeight="false" outlineLevel="0" collapsed="false">
      <c r="A33" s="38" t="s">
        <v>204</v>
      </c>
      <c r="B33" s="57" t="str">
        <f aca="false">'RAW DATA Q2 - 1'!FP5</f>
        <v>Yes</v>
      </c>
    </row>
    <row r="34" customFormat="false" ht="15" hidden="false" customHeight="false" outlineLevel="0" collapsed="false">
      <c r="A34" s="38" t="s">
        <v>205</v>
      </c>
      <c r="B34" s="57" t="str">
        <f aca="false">'RAW DATA Q2 - 1'!FQ5</f>
        <v>Yes</v>
      </c>
    </row>
    <row r="35" customFormat="false" ht="41.75" hidden="false" customHeight="false" outlineLevel="0" collapsed="false">
      <c r="A35" s="38" t="s">
        <v>206</v>
      </c>
      <c r="B35" s="57" t="str">
        <f aca="false">'RAW DATA Q2 - 1'!FR5</f>
        <v>Yes, DPIA completed and there are actions to be done by Project Owner</v>
      </c>
    </row>
    <row r="36" customFormat="false" ht="15" hidden="false" customHeight="false" outlineLevel="0" collapsed="false">
      <c r="A36" s="38" t="s">
        <v>207</v>
      </c>
      <c r="B36" s="57" t="str">
        <f aca="false">'RAW DATA Q2 - 1'!FS5</f>
        <v>Yes, DPSQ completed</v>
      </c>
    </row>
    <row r="37" customFormat="false" ht="41.75" hidden="false" customHeight="false" outlineLevel="0" collapsed="false">
      <c r="A37" s="38" t="s">
        <v>208</v>
      </c>
      <c r="B37" s="57" t="str">
        <f aca="false">'RAW DATA Q2 - 1'!FT5</f>
        <v>Yes, VSDDT completed and there are actions to be done by supplier</v>
      </c>
    </row>
    <row r="38" customFormat="false" ht="15" hidden="false" customHeight="false" outlineLevel="0" collapsed="false">
      <c r="A38" s="38" t="s">
        <v>209</v>
      </c>
    </row>
    <row r="40" customFormat="false" ht="15" hidden="false" customHeight="false" outlineLevel="0" collapsed="false">
      <c r="A40" s="56" t="s">
        <v>74</v>
      </c>
    </row>
    <row r="41" customFormat="false" ht="28.35" hidden="false" customHeight="false" outlineLevel="0" collapsed="false">
      <c r="B41" s="58" t="str">
        <f aca="false">'RAW DATA Q2 - 1'!FU5</f>
        <v>So far, Jatis Vendor has provided good service. Their response time is fast, and they are able to provide effective solutions whenever issues arise</v>
      </c>
      <c r="C41" s="58"/>
      <c r="D41" s="58"/>
    </row>
  </sheetData>
  <mergeCells count="2">
    <mergeCell ref="A1:D1"/>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139</v>
      </c>
    </row>
    <row r="3" customFormat="false" ht="15" hidden="false" customHeight="false" outlineLevel="0" collapsed="false">
      <c r="A3" s="42" t="s">
        <v>56</v>
      </c>
      <c r="B3" s="38" t="s">
        <v>145</v>
      </c>
    </row>
    <row r="4" customFormat="false" ht="15" hidden="false" customHeight="false" outlineLevel="0" collapsed="false">
      <c r="A4" s="42" t="s">
        <v>191</v>
      </c>
      <c r="B4" s="38" t="s">
        <v>146</v>
      </c>
    </row>
    <row r="5" customFormat="false" ht="15" hidden="false" customHeight="false" outlineLevel="0" collapsed="false">
      <c r="A5" s="42" t="s">
        <v>211</v>
      </c>
      <c r="B5" s="38" t="s">
        <v>212</v>
      </c>
    </row>
    <row r="7" customFormat="false" ht="15" hidden="false" customHeight="false" outlineLevel="0" collapsed="false">
      <c r="A7" s="43" t="s">
        <v>78</v>
      </c>
      <c r="B7" s="43" t="s">
        <v>192</v>
      </c>
      <c r="C7" s="44" t="s">
        <v>193</v>
      </c>
      <c r="D7" s="43" t="s">
        <v>194</v>
      </c>
    </row>
    <row r="8" customFormat="false" ht="26.85" hidden="false" customHeight="false" outlineLevel="0" collapsed="false">
      <c r="A8" s="45" t="n">
        <v>1</v>
      </c>
      <c r="B8" s="45" t="s">
        <v>195</v>
      </c>
      <c r="C8" s="46" t="str">
        <f aca="false">'RAW DATA Q2 - 1'!DI$1</f>
        <v>How would you rate the goods/services provided by the Supplier against the agreed standards3</v>
      </c>
      <c r="D8" s="47" t="n">
        <f aca="false">AVERAGE('RAW DATA Q2 - 1'!DI6,'RAW DATA Q2 - 1'!DI7)</f>
        <v>3.5</v>
      </c>
    </row>
    <row r="9" customFormat="false" ht="15" hidden="false" customHeight="false" outlineLevel="0" collapsed="false">
      <c r="A9" s="45" t="n">
        <v>2</v>
      </c>
      <c r="B9" s="45" t="s">
        <v>195</v>
      </c>
      <c r="C9" s="46" t="str">
        <f aca="false">'RAW DATA Q2 - 1'!DJ$1</f>
        <v>How would you rate the accuracy of the data in the Supplier's reports?5</v>
      </c>
      <c r="D9" s="47" t="n">
        <f aca="false">AVERAGE('RAW DATA Q2 - 1'!DJ6,'RAW DATA Q2 - 1'!DJ7)</f>
        <v>2.5</v>
      </c>
    </row>
    <row r="10" customFormat="false" ht="26.85" hidden="false" customHeight="false" outlineLevel="0" collapsed="false">
      <c r="A10" s="45" t="n">
        <v>3</v>
      </c>
      <c r="B10" s="45" t="s">
        <v>195</v>
      </c>
      <c r="C10" s="46" t="str">
        <f aca="false">'RAW DATA Q2 - 1'!DK$1</f>
        <v>How would you rate overall quality of the work reports provided by the Supplier?5</v>
      </c>
      <c r="D10" s="47" t="n">
        <f aca="false">AVERAGE('RAW DATA Q2 - 1'!DK6,'RAW DATA Q2 - 1'!DK7)</f>
        <v>3</v>
      </c>
    </row>
    <row r="11" customFormat="false" ht="15" hidden="false" customHeight="false" outlineLevel="0" collapsed="false">
      <c r="A11" s="45" t="n">
        <v>4</v>
      </c>
      <c r="B11" s="45" t="s">
        <v>195</v>
      </c>
      <c r="C11" s="46" t="str">
        <f aca="false">'RAW DATA Q2 - 1'!DL$1</f>
        <v>How would you rate the solutions provided when there is trouble?5</v>
      </c>
      <c r="D11" s="47" t="n">
        <f aca="false">AVERAGE('RAW DATA Q2 - 1'!DL6,'RAW DATA Q2 - 1'!DL7)</f>
        <v>3</v>
      </c>
    </row>
    <row r="12" customFormat="false" ht="15" hidden="false" customHeight="false" outlineLevel="0" collapsed="false">
      <c r="A12" s="45" t="n">
        <v>5</v>
      </c>
      <c r="B12" s="45" t="s">
        <v>195</v>
      </c>
      <c r="C12" s="46" t="str">
        <f aca="false">'RAW DATA Q2 - 1'!DM$1</f>
        <v>How would you rate the resolution to the problem that occurred?5</v>
      </c>
      <c r="D12" s="47" t="n">
        <f aca="false">AVERAGE('RAW DATA Q2 - 1'!DM6,'RAW DATA Q2 - 1'!DM7)</f>
        <v>2.5</v>
      </c>
    </row>
    <row r="13" customFormat="false" ht="15" hidden="false" customHeight="false" outlineLevel="0" collapsed="false">
      <c r="A13" s="45" t="n">
        <v>6</v>
      </c>
      <c r="B13" s="45" t="s">
        <v>195</v>
      </c>
      <c r="C13" s="46" t="str">
        <f aca="false">'RAW DATA Q2 - 1'!DN$1</f>
        <v>How would you rate the speed of resolution given to problems that occur</v>
      </c>
      <c r="D13" s="47" t="n">
        <f aca="false">AVERAGE('RAW DATA Q2 - 1'!DN6,'RAW DATA Q2 - 1'!DN7)</f>
        <v>3.5</v>
      </c>
    </row>
    <row r="14" customFormat="false" ht="26.85" hidden="false" customHeight="false" outlineLevel="0" collapsed="false">
      <c r="A14" s="45" t="n">
        <v>7</v>
      </c>
      <c r="B14" s="45" t="s">
        <v>195</v>
      </c>
      <c r="C14" s="46" t="str">
        <f aca="false">'RAW DATA Q2 - 1'!DO$1</f>
        <v>How would you rate the supplier initiative to take mitigation/preventive action to prevent the problem from recurring?6</v>
      </c>
      <c r="D14" s="47" t="n">
        <f aca="false">AVERAGE('RAW DATA Q2 - 1'!DO6,'RAW DATA Q2 - 1'!DO7)</f>
        <v>3</v>
      </c>
    </row>
    <row r="15" customFormat="false" ht="26.85" hidden="false" customHeight="false" outlineLevel="0" collapsed="false">
      <c r="A15" s="45" t="n">
        <v>8</v>
      </c>
      <c r="B15" s="45" t="s">
        <v>195</v>
      </c>
      <c r="C15" s="46" t="str">
        <f aca="false">'RAW DATA Q2 - 1'!DP$1</f>
        <v>How would you rate supplier compliance with administrative processes, including completion of draft cooperation contract?6</v>
      </c>
      <c r="D15" s="47" t="n">
        <f aca="false">AVERAGE('RAW DATA Q2 - 1'!DP6,'RAW DATA Q2 - 1'!DP7)</f>
        <v>3</v>
      </c>
    </row>
    <row r="16" customFormat="false" ht="15" hidden="false" customHeight="false" outlineLevel="0" collapsed="false">
      <c r="A16" s="45" t="n">
        <v>9</v>
      </c>
      <c r="B16" s="45" t="s">
        <v>195</v>
      </c>
      <c r="C16" s="46" t="str">
        <f aca="false">'RAW DATA Q2 - 1'!DQ$1</f>
        <v>How would you rate the shipping target achievement?</v>
      </c>
      <c r="D16" s="47" t="n">
        <f aca="false">AVERAGE('RAW DATA Q2 - 1'!DQ6,'RAW DATA Q2 - 1'!DQ7)</f>
        <v>2.5</v>
      </c>
    </row>
    <row r="17" customFormat="false" ht="39.55" hidden="false" customHeight="false" outlineLevel="0" collapsed="false">
      <c r="A17" s="45" t="n">
        <v>10</v>
      </c>
      <c r="B17" s="45" t="s">
        <v>195</v>
      </c>
      <c r="C17" s="46" t="str">
        <f aca="false">'RAW DATA Q2 - 1'!DR$1</f>
        <v>How would you rate the delivery times? Based on SLA, the delivery time are Monday to Saturday, service levels will remain the same from Monday to Friday.</v>
      </c>
      <c r="D17" s="47" t="n">
        <f aca="false">AVERAGE('RAW DATA Q2 - 1'!DR6,'RAW DATA Q2 - 1'!DR7)</f>
        <v>2.5</v>
      </c>
    </row>
    <row r="18" customFormat="false" ht="15" hidden="false" customHeight="false" outlineLevel="0" collapsed="false">
      <c r="A18" s="45" t="n">
        <v>11</v>
      </c>
      <c r="B18" s="45" t="s">
        <v>195</v>
      </c>
      <c r="C18" s="46" t="str">
        <f aca="false">'RAW DATA Q2 - 1'!DS$1</f>
        <v>How would you rate the Receipt retention period?</v>
      </c>
      <c r="D18" s="47" t="n">
        <f aca="false">AVERAGE('RAW DATA Q2 - 1'!DS6,'RAW DATA Q2 - 1'!DS7)</f>
        <v>2.5</v>
      </c>
    </row>
    <row r="19" customFormat="false" ht="15" hidden="false" customHeight="false" outlineLevel="0" collapsed="false">
      <c r="A19" s="45" t="n">
        <v>12</v>
      </c>
      <c r="B19" s="45" t="s">
        <v>195</v>
      </c>
      <c r="C19" s="46" t="str">
        <f aca="false">'RAW DATA Q2 - 1'!DT$1</f>
        <v>How would you rate the Airway Bill Storage:</v>
      </c>
      <c r="D19" s="47" t="n">
        <f aca="false">AVERAGE('RAW DATA Q2 - 1'!DT6,'RAW DATA Q2 - 1'!DT7)</f>
        <v>3.5</v>
      </c>
    </row>
    <row r="20" customFormat="false" ht="26.85" hidden="false" customHeight="false" outlineLevel="0" collapsed="false">
      <c r="A20" s="45" t="n">
        <v>13</v>
      </c>
      <c r="B20" s="45" t="s">
        <v>195</v>
      </c>
      <c r="C20" s="46" t="str">
        <f aca="false">'RAW DATA Q2 - 1'!DU$1</f>
        <v>How would you rate the Handling of Policies/Documents and/or delivery process?</v>
      </c>
      <c r="D20" s="47" t="n">
        <f aca="false">AVERAGE('RAW DATA Q2 - 1'!DU6,'RAW DATA Q2 - 1'!DU7)</f>
        <v>3</v>
      </c>
    </row>
    <row r="21" customFormat="false" ht="26.85" hidden="false" customHeight="false" outlineLevel="0" collapsed="false">
      <c r="A21" s="45" t="n">
        <v>14</v>
      </c>
      <c r="B21" s="45" t="s">
        <v>195</v>
      </c>
      <c r="C21" s="46" t="str">
        <f aca="false">'RAW DATA Q2 - 1'!DV$1</f>
        <v>How would you rate the response to complaints/investigations of the delivery process?</v>
      </c>
      <c r="D21" s="47" t="n">
        <f aca="false">AVERAGE('RAW DATA Q2 - 1'!DV6,'RAW DATA Q2 - 1'!DV7)</f>
        <v>3.5</v>
      </c>
    </row>
    <row r="22" customFormat="false" ht="15" hidden="false" customHeight="false" outlineLevel="0" collapsed="false">
      <c r="A22" s="45" t="n">
        <v>15</v>
      </c>
      <c r="B22" s="45" t="s">
        <v>195</v>
      </c>
      <c r="C22" s="46" t="str">
        <f aca="false">'RAW DATA Q2 - 1'!DW$1</f>
        <v>How would you rate the response taken when a delivery failure occurs?</v>
      </c>
      <c r="D22" s="47" t="n">
        <f aca="false">AVERAGE('RAW DATA Q2 - 1'!DW6,'RAW DATA Q2 - 1'!DW7)</f>
        <v>3</v>
      </c>
    </row>
    <row r="23" customFormat="false" ht="26.85" hidden="false" customHeight="false" outlineLevel="0" collapsed="false">
      <c r="A23" s="48" t="n">
        <v>16</v>
      </c>
      <c r="B23" s="48" t="s">
        <v>196</v>
      </c>
      <c r="C23" s="49" t="str">
        <f aca="false">'RAW DATA Q2 - 1'!FJ$1</f>
        <v>How would you rate the supplier's timeliness in delivering goods/services compared to the agreed-upon timeline?4</v>
      </c>
      <c r="D23" s="50" t="n">
        <f aca="false">AVERAGE('RAW DATA Q2 - 1'!FJ6,'RAW DATA Q2 - 1'!FJ7)</f>
        <v>2.5</v>
      </c>
    </row>
    <row r="24" customFormat="false" ht="15" hidden="false" customHeight="false" outlineLevel="0" collapsed="false">
      <c r="A24" s="48" t="n">
        <v>17</v>
      </c>
      <c r="B24" s="48" t="s">
        <v>196</v>
      </c>
      <c r="C24" s="49" t="str">
        <f aca="false">'RAW DATA Q2 - 1'!FK$1</f>
        <v>How would you rate the supplier's timeliness in sending reports to you?1</v>
      </c>
      <c r="D24" s="50" t="n">
        <f aca="false">AVERAGE('RAW DATA Q2 - 1'!FK6,'RAW DATA Q2 - 1'!FK7)</f>
        <v>3.5</v>
      </c>
    </row>
    <row r="25" customFormat="false" ht="26.85" hidden="false" customHeight="false" outlineLevel="0" collapsed="false">
      <c r="A25" s="48" t="n">
        <v>18</v>
      </c>
      <c r="B25" s="48" t="s">
        <v>196</v>
      </c>
      <c r="C25" s="49" t="str">
        <f aca="false">'RAW DATA Q2 - 1'!FL$1</f>
        <v>How would you rate the supplier's speed ​​of administrative completion, including completion of contracts draft?2</v>
      </c>
      <c r="D25" s="50" t="n">
        <f aca="false">AVERAGE('RAW DATA Q2 - 1'!FL6,'RAW DATA Q2 - 1'!FL7)</f>
        <v>3</v>
      </c>
    </row>
    <row r="26" customFormat="false" ht="15" hidden="false" customHeight="false" outlineLevel="0" collapsed="false">
      <c r="A26" s="51" t="n">
        <v>19</v>
      </c>
      <c r="B26" s="51" t="s">
        <v>197</v>
      </c>
      <c r="C26" s="52" t="str">
        <f aca="false">'RAW DATA Q2 - 1'!FM$1</f>
        <v>How would you rate the supplier's communication with you?</v>
      </c>
      <c r="D26" s="53" t="n">
        <f aca="false">AVERAGE('RAW DATA Q2 - 1'!FM6,'RAW DATA Q2 - 1'!FM7)</f>
        <v>4</v>
      </c>
    </row>
    <row r="27" customFormat="false" ht="26.85" hidden="false" customHeight="false" outlineLevel="0" collapsed="false">
      <c r="A27" s="51" t="n">
        <v>20</v>
      </c>
      <c r="B27" s="51" t="s">
        <v>197</v>
      </c>
      <c r="C27" s="52" t="str">
        <f aca="false">'RAW DATA Q2 - 1'!FN$1</f>
        <v>How would you rate the supplier's PIC's availability to be contacted when needed?</v>
      </c>
      <c r="D27" s="53" t="n">
        <f aca="false">AVERAGE('RAW DATA Q2 - 1'!FN6,'RAW DATA Q2 - 1'!FN7)</f>
        <v>4</v>
      </c>
    </row>
    <row r="28" customFormat="false" ht="39.55" hidden="false" customHeight="false" outlineLevel="0" collapsed="false">
      <c r="A28" s="51" t="n">
        <v>21</v>
      </c>
      <c r="B28" s="51" t="s">
        <v>197</v>
      </c>
      <c r="C28" s="52" t="str">
        <f aca="false">'RAW DATA Q2 - 1'!FO$1</f>
        <v>How would you rate the supplier's response speed to you when there are issues?
</v>
      </c>
      <c r="D28" s="53" t="n">
        <f aca="false">AVERAGE('RAW DATA Q2 - 1'!FO6,'RAW DATA Q2 - 1'!FO7)</f>
        <v>3.5</v>
      </c>
    </row>
    <row r="30" customFormat="false" ht="15" hidden="false" customHeight="false" outlineLevel="0" collapsed="false">
      <c r="A30" s="42" t="s">
        <v>198</v>
      </c>
      <c r="B30" s="54" t="n">
        <f aca="false">AVERAGEIF(B8:B28,"Quality",D8:D28)</f>
        <v>2.96666666666667</v>
      </c>
    </row>
    <row r="31" customFormat="false" ht="15" hidden="false" customHeight="false" outlineLevel="0" collapsed="false">
      <c r="A31" s="42" t="s">
        <v>199</v>
      </c>
      <c r="B31" s="54" t="n">
        <f aca="false">AVERAGEIF(B8:B28,"Timeline",D8:D28)</f>
        <v>3</v>
      </c>
    </row>
    <row r="32" customFormat="false" ht="15" hidden="false" customHeight="false" outlineLevel="0" collapsed="false">
      <c r="A32" s="42" t="s">
        <v>200</v>
      </c>
      <c r="B32" s="54" t="n">
        <f aca="false">AVERAGEIF(B8:B28,"Relationship",D8:D28)</f>
        <v>3.83333333333333</v>
      </c>
    </row>
    <row r="33" customFormat="false" ht="15" hidden="false" customHeight="false" outlineLevel="0" collapsed="false">
      <c r="A33" s="42" t="s">
        <v>201</v>
      </c>
      <c r="B33" s="55" t="n">
        <f aca="false">B30*0.35+B31*0.35+B32*0.3</f>
        <v>3.23833333333333</v>
      </c>
    </row>
    <row r="34" customFormat="false" ht="15" hidden="false" customHeight="false" outlineLevel="0" collapsed="false">
      <c r="A34" s="42" t="s">
        <v>202</v>
      </c>
      <c r="B34" s="42" t="str">
        <f aca="false">IF(B33&gt;4.99,"Exceptional",IF(B33&gt;3.99,"Exceed Expectation",IF(B33&gt;=2.99,"Meet Expectation",IF(B33&gt;1.9,"Below Expectation","Unsatisfactory"))))</f>
        <v>Meet Expectation</v>
      </c>
    </row>
    <row r="36" customFormat="false" ht="15" hidden="false" customHeight="false" outlineLevel="0" collapsed="false">
      <c r="A36" s="56" t="s">
        <v>203</v>
      </c>
    </row>
    <row r="37" customFormat="false" ht="15" hidden="false" customHeight="false" outlineLevel="0" collapsed="false">
      <c r="B37" s="42" t="s">
        <v>144</v>
      </c>
      <c r="C37" s="59" t="s">
        <v>213</v>
      </c>
    </row>
    <row r="38" customFormat="false" ht="15" hidden="false" customHeight="false" outlineLevel="0" collapsed="false">
      <c r="A38" s="38" t="s">
        <v>204</v>
      </c>
      <c r="B38" s="1" t="str">
        <f aca="false">'RAW DATA Q2 - 1'!FP6</f>
        <v>Yes</v>
      </c>
      <c r="C38" s="60" t="str">
        <f aca="false">'RAW DATA Q2 - 1'!FP7</f>
        <v>No</v>
      </c>
    </row>
    <row r="39" customFormat="false" ht="15" hidden="false" customHeight="false" outlineLevel="0" collapsed="false">
      <c r="A39" s="38" t="s">
        <v>205</v>
      </c>
      <c r="B39" s="1" t="str">
        <f aca="false">'RAW DATA Q2 - 1'!FQ6</f>
        <v>Yes</v>
      </c>
      <c r="C39" s="60" t="str">
        <f aca="false">'RAW DATA Q2 - 1'!FQ7</f>
        <v>Yes</v>
      </c>
    </row>
    <row r="40" customFormat="false" ht="15" hidden="false" customHeight="false" outlineLevel="0" collapsed="false">
      <c r="A40" s="38" t="s">
        <v>206</v>
      </c>
      <c r="B40" s="1" t="str">
        <f aca="false">'RAW DATA Q2 - 1'!FR6</f>
        <v>Yes, DPIA completed and there are actions to be done by Project Owner</v>
      </c>
      <c r="C40" s="60" t="str">
        <f aca="false">'RAW DATA Q2 - 1'!FR7</f>
        <v>No Implementation</v>
      </c>
    </row>
    <row r="41" customFormat="false" ht="15" hidden="false" customHeight="false" outlineLevel="0" collapsed="false">
      <c r="A41" s="38" t="s">
        <v>207</v>
      </c>
      <c r="B41" s="1" t="str">
        <f aca="false">'RAW DATA Q2 - 1'!FS6</f>
        <v>Yes, DPSQ completed</v>
      </c>
      <c r="C41" s="60" t="str">
        <f aca="false">'RAW DATA Q2 - 1'!FS7</f>
        <v>No Implementation</v>
      </c>
    </row>
    <row r="42" customFormat="false" ht="15" hidden="false" customHeight="false" outlineLevel="0" collapsed="false">
      <c r="A42" s="38" t="s">
        <v>208</v>
      </c>
      <c r="B42" s="1" t="str">
        <f aca="false">'RAW DATA Q2 - 1'!FT6</f>
        <v>Yes, VSDDT completed and there are actions to be done by supplier</v>
      </c>
      <c r="C42" s="60" t="str">
        <f aca="false">'RAW DATA Q2 - 1'!FT7</f>
        <v>No Implementation</v>
      </c>
    </row>
    <row r="43" customFormat="false" ht="15" hidden="false" customHeight="false" outlineLevel="0" collapsed="false">
      <c r="A43" s="38" t="s">
        <v>209</v>
      </c>
    </row>
    <row r="44" customFormat="false" ht="15" hidden="false" customHeight="false" outlineLevel="0" collapsed="false">
      <c r="A44" s="61" t="s">
        <v>214</v>
      </c>
      <c r="B44" s="62" t="s">
        <v>215</v>
      </c>
    </row>
    <row r="46" customFormat="false" ht="15" hidden="false" customHeight="false" outlineLevel="0" collapsed="false">
      <c r="A46" s="56" t="s">
        <v>74</v>
      </c>
    </row>
    <row r="47" customFormat="false" ht="68.65" hidden="false" customHeight="false" outlineLevel="0" collapsed="false">
      <c r="A47" s="42" t="s">
        <v>216</v>
      </c>
      <c r="B47" s="57" t="str">
        <f aca="false">'RAW DATA Q2 - 1'!FU6</f>
        <v>SAP has shown improvement in terms of reporting and provides a fast response whenever issues arise.</v>
      </c>
    </row>
    <row r="48" customFormat="false" ht="256.7" hidden="false" customHeight="false" outlineLevel="0" collapsed="false">
      <c r="A48" s="42" t="s">
        <v>217</v>
      </c>
      <c r="B48" s="57" t="str">
        <f aca="false">'RAW DATA Q2 - 1'!FU7</f>
        <v>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148</v>
      </c>
    </row>
    <row r="3" customFormat="false" ht="15" hidden="false" customHeight="false" outlineLevel="0" collapsed="false">
      <c r="A3" s="42" t="s">
        <v>56</v>
      </c>
      <c r="B3" s="38" t="s">
        <v>149</v>
      </c>
    </row>
    <row r="4" customFormat="false" ht="15" hidden="false" customHeight="false" outlineLevel="0" collapsed="false">
      <c r="A4" s="42" t="s">
        <v>191</v>
      </c>
      <c r="B4" s="38" t="s">
        <v>141</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Q2 - 1'!AY$1</f>
        <v>How would you rate The goods/services provided by the Supplier against the agreed standards</v>
      </c>
      <c r="D7" s="47" t="n">
        <f aca="false">'RAW DATA Q2 - 1'!AY12</f>
        <v>3</v>
      </c>
    </row>
    <row r="8" customFormat="false" ht="15" hidden="false" customHeight="false" outlineLevel="0" collapsed="false">
      <c r="A8" s="45" t="n">
        <v>2</v>
      </c>
      <c r="B8" s="45" t="s">
        <v>195</v>
      </c>
      <c r="C8" s="46" t="str">
        <f aca="false">'RAW DATA Q2 - 1'!AZ$1</f>
        <v>How would you rate the supplier's services?</v>
      </c>
      <c r="D8" s="47" t="n">
        <f aca="false">'RAW DATA Q2 - 1'!AZ12</f>
        <v>3</v>
      </c>
    </row>
    <row r="9" customFormat="false" ht="39.55" hidden="false" customHeight="false" outlineLevel="0" collapsed="false">
      <c r="A9" s="45" t="n">
        <v>3</v>
      </c>
      <c r="B9" s="45" t="s">
        <v>195</v>
      </c>
      <c r="C9" s="46" t="str">
        <f aca="false">'RAW DATA Q2 - 1'!BA$1</f>
        <v>How would you rate the supplier's service in providing a guarantee of administrative services for archive management, computer data collection for all AXA cartons, and ease of access for AXA to the ar</v>
      </c>
      <c r="D9" s="47" t="n">
        <f aca="false">'RAW DATA Q2 - 1'!BA12</f>
        <v>3</v>
      </c>
    </row>
    <row r="10" customFormat="false" ht="26.85" hidden="false" customHeight="false" outlineLevel="0" collapsed="false">
      <c r="A10" s="45" t="n">
        <v>4</v>
      </c>
      <c r="B10" s="45" t="s">
        <v>195</v>
      </c>
      <c r="C10" s="46" t="str">
        <f aca="false">'RAW DATA Q2 - 1'!BB$1</f>
        <v>How would you rate the supplier's service in providing the required number of empty cartons?</v>
      </c>
      <c r="D10" s="47" t="n">
        <f aca="false">'RAW DATA Q2 - 1'!BB12</f>
        <v>3</v>
      </c>
    </row>
    <row r="11" customFormat="false" ht="26.85" hidden="false" customHeight="false" outlineLevel="0" collapsed="false">
      <c r="A11" s="45" t="n">
        <v>5</v>
      </c>
      <c r="B11" s="45" t="s">
        <v>195</v>
      </c>
      <c r="C11" s="46" t="str">
        <f aca="false">'RAW DATA Q2 - 1'!BC$1</f>
        <v>How would you rate overall quality of the work reports provided by the Supplier?2</v>
      </c>
      <c r="D11" s="47" t="n">
        <f aca="false">'RAW DATA Q2 - 1'!BC12</f>
        <v>3</v>
      </c>
    </row>
    <row r="12" customFormat="false" ht="39.55" hidden="false" customHeight="false" outlineLevel="0" collapsed="false">
      <c r="A12" s="45" t="n">
        <v>6</v>
      </c>
      <c r="B12" s="45" t="s">
        <v>195</v>
      </c>
      <c r="C12" s="46" t="str">
        <f aca="false">'RAW DATA Q2 - 1'!BD$1</f>
        <v>How would you rate the completeness report containing the number of AXA cartons deposited in the supplier's warehouse, a list of cartons that are being borrowed (retrieval) and have not been returned </v>
      </c>
      <c r="D12" s="47" t="n">
        <f aca="false">'RAW DATA Q2 - 1'!BD12</f>
        <v>3</v>
      </c>
    </row>
    <row r="13" customFormat="false" ht="15" hidden="false" customHeight="false" outlineLevel="0" collapsed="false">
      <c r="A13" s="45" t="n">
        <v>7</v>
      </c>
      <c r="B13" s="45" t="s">
        <v>195</v>
      </c>
      <c r="C13" s="46" t="str">
        <f aca="false">'RAW DATA Q2 - 1'!BE$1</f>
        <v>How would you rate the solutions provided when there is trouble?2</v>
      </c>
      <c r="D13" s="47" t="n">
        <f aca="false">'RAW DATA Q2 - 1'!BE12</f>
        <v>3</v>
      </c>
    </row>
    <row r="14" customFormat="false" ht="15" hidden="false" customHeight="false" outlineLevel="0" collapsed="false">
      <c r="A14" s="45" t="n">
        <v>8</v>
      </c>
      <c r="B14" s="45" t="s">
        <v>195</v>
      </c>
      <c r="C14" s="46" t="str">
        <f aca="false">'RAW DATA Q2 - 1'!BF$1</f>
        <v>How would you rate the resolution to the problem that occurred?2</v>
      </c>
      <c r="D14" s="47" t="n">
        <f aca="false">'RAW DATA Q2 - 1'!BF12</f>
        <v>3</v>
      </c>
    </row>
    <row r="15" customFormat="false" ht="26.85" hidden="false" customHeight="false" outlineLevel="0" collapsed="false">
      <c r="A15" s="45" t="n">
        <v>9</v>
      </c>
      <c r="B15" s="45" t="s">
        <v>195</v>
      </c>
      <c r="C15" s="46" t="str">
        <f aca="false">'RAW DATA Q2 - 1'!BG$1</f>
        <v>How would you rate the speed of resolution given to problems that occur?2</v>
      </c>
      <c r="D15" s="47" t="n">
        <f aca="false">'RAW DATA Q2 - 1'!BG12</f>
        <v>3</v>
      </c>
    </row>
    <row r="16" customFormat="false" ht="26.85" hidden="false" customHeight="false" outlineLevel="0" collapsed="false">
      <c r="A16" s="45" t="n">
        <v>10</v>
      </c>
      <c r="B16" s="45" t="s">
        <v>195</v>
      </c>
      <c r="C16" s="46" t="str">
        <f aca="false">'RAW DATA Q2 - 1'!BH$1</f>
        <v>How would you rate the supplier initiative to take mitigation/preventive action to prevent the problem from recurring?2</v>
      </c>
      <c r="D16" s="47" t="n">
        <f aca="false">'RAW DATA Q2 - 1'!BH12</f>
        <v>3</v>
      </c>
    </row>
    <row r="17" customFormat="false" ht="26.85" hidden="false" customHeight="false" outlineLevel="0" collapsed="false">
      <c r="A17" s="45" t="n">
        <v>11</v>
      </c>
      <c r="B17" s="45" t="s">
        <v>195</v>
      </c>
      <c r="C17" s="46" t="str">
        <f aca="false">'RAW DATA Q2 - 1'!BI$1</f>
        <v>How would you rate supplier compliance with administrative processes, including completion of draft cooperation contract?3</v>
      </c>
      <c r="D17" s="47" t="n">
        <f aca="false">'RAW DATA Q2 - 1'!BI12</f>
        <v>3</v>
      </c>
    </row>
    <row r="18" customFormat="false" ht="26.85" hidden="false" customHeight="false" outlineLevel="0" collapsed="false">
      <c r="A18" s="48" t="n">
        <v>12</v>
      </c>
      <c r="B18" s="48" t="s">
        <v>196</v>
      </c>
      <c r="C18" s="49" t="str">
        <f aca="false">'RAW DATA Q2 - 1'!FB$1</f>
        <v>How would you rate the supplier's timeliness in delivering goods/services compared to the agreed-upon timeline?2</v>
      </c>
      <c r="D18" s="50" t="n">
        <f aca="false">'RAW DATA Q2 - 1'!FB12</f>
        <v>3</v>
      </c>
    </row>
    <row r="19" customFormat="false" ht="52.2" hidden="false" customHeight="false" outlineLevel="0" collapsed="false">
      <c r="A19" s="48" t="n">
        <v>13</v>
      </c>
      <c r="B19" s="48" t="s">
        <v>196</v>
      </c>
      <c r="C19" s="49" t="str">
        <f aca="false">'RAW DATA Q2 - 1'!FC$1</f>
        <v>How would you rate the supplier's timeliness in sending reports to you? Based on SLA, suppliers must provide reports on the 10th of each month.
</v>
      </c>
      <c r="D19" s="50" t="n">
        <f aca="false">'RAW DATA Q2 - 1'!FC12</f>
        <v>3</v>
      </c>
    </row>
    <row r="20" customFormat="false" ht="39.55" hidden="false" customHeight="false" outlineLevel="0" collapsed="false">
      <c r="A20" s="48" t="n">
        <v>14</v>
      </c>
      <c r="B20" s="48" t="s">
        <v>196</v>
      </c>
      <c r="C20" s="49" t="str">
        <f aca="false">'RAW DATA Q2 - 1'!FD$1</f>
        <v>How would you rate the supplier's speed ​​of administrative completion, including completion of contracts draft?
1</v>
      </c>
      <c r="D20" s="50" t="n">
        <f aca="false">'RAW DATA Q2 - 1'!FD12</f>
        <v>3</v>
      </c>
    </row>
    <row r="21" customFormat="false" ht="26.85" hidden="false" customHeight="false" outlineLevel="0" collapsed="false">
      <c r="A21" s="48" t="n">
        <v>15</v>
      </c>
      <c r="B21" s="48" t="s">
        <v>196</v>
      </c>
      <c r="C21" s="49" t="str">
        <f aca="false">'RAW DATA Q2 - 1'!FE$1</f>
        <v>How would you rate the supplier's SLA Fulfillment?
</v>
      </c>
      <c r="D21" s="50" t="n">
        <f aca="false">'RAW DATA Q2 - 1'!FE12</f>
        <v>3</v>
      </c>
    </row>
    <row r="22" customFormat="false" ht="15" hidden="false" customHeight="false" outlineLevel="0" collapsed="false">
      <c r="A22" s="51" t="n">
        <v>16</v>
      </c>
      <c r="B22" s="51" t="s">
        <v>197</v>
      </c>
      <c r="C22" s="52" t="str">
        <f aca="false">'RAW DATA Q2 - 1'!FM$1</f>
        <v>How would you rate the supplier's communication with you?</v>
      </c>
      <c r="D22" s="53" t="n">
        <f aca="false">'RAW DATA Q2 - 1'!FM12</f>
        <v>3</v>
      </c>
    </row>
    <row r="23" customFormat="false" ht="26.85" hidden="false" customHeight="false" outlineLevel="0" collapsed="false">
      <c r="A23" s="51" t="n">
        <v>17</v>
      </c>
      <c r="B23" s="51" t="s">
        <v>197</v>
      </c>
      <c r="C23" s="52" t="str">
        <f aca="false">'RAW DATA Q2 - 1'!FN$1</f>
        <v>How would you rate the supplier's PIC's availability to be contacted when needed?</v>
      </c>
      <c r="D23" s="53" t="n">
        <f aca="false">'RAW DATA Q2 - 1'!FN12</f>
        <v>3</v>
      </c>
    </row>
    <row r="24" customFormat="false" ht="39.55" hidden="false" customHeight="false" outlineLevel="0" collapsed="false">
      <c r="A24" s="51" t="n">
        <v>18</v>
      </c>
      <c r="B24" s="51" t="s">
        <v>197</v>
      </c>
      <c r="C24" s="52" t="str">
        <f aca="false">'RAW DATA Q2 - 1'!FO$1</f>
        <v>How would you rate the supplier's response speed to you when there are issues?
</v>
      </c>
      <c r="D24" s="53" t="n">
        <f aca="false">'RAW DATA Q2 - 1'!FO12</f>
        <v>3</v>
      </c>
    </row>
    <row r="26" customFormat="false" ht="15" hidden="false" customHeight="false" outlineLevel="0" collapsed="false">
      <c r="A26" s="42" t="s">
        <v>198</v>
      </c>
      <c r="B26" s="54" t="n">
        <f aca="false">AVERAGEIF(B7:B24,"Quality",D7:D24)</f>
        <v>3</v>
      </c>
    </row>
    <row r="27" customFormat="false" ht="15" hidden="false" customHeight="false" outlineLevel="0" collapsed="false">
      <c r="A27" s="42" t="s">
        <v>199</v>
      </c>
      <c r="B27" s="54" t="n">
        <f aca="false">AVERAGEIF(B7:B24,"Timeline",D7:D24)</f>
        <v>3</v>
      </c>
    </row>
    <row r="28" customFormat="false" ht="15" hidden="false" customHeight="false" outlineLevel="0" collapsed="false">
      <c r="A28" s="42" t="s">
        <v>200</v>
      </c>
      <c r="B28" s="54" t="n">
        <f aca="false">AVERAGEIF(B7:B24,"Relationship",D7:D24)</f>
        <v>3</v>
      </c>
    </row>
    <row r="29" customFormat="false" ht="15" hidden="false" customHeight="false" outlineLevel="0" collapsed="false">
      <c r="A29" s="42" t="s">
        <v>201</v>
      </c>
      <c r="B29" s="55" t="n">
        <f aca="false">B26*0.35+B27*0.35+B28*0.3</f>
        <v>3</v>
      </c>
    </row>
    <row r="30" customFormat="false" ht="15" hidden="false" customHeight="false" outlineLevel="0" collapsed="false">
      <c r="A30" s="42" t="s">
        <v>202</v>
      </c>
      <c r="B30" s="42" t="str">
        <f aca="false">IF(B29&gt;4.99,"Exceptional",IF(B29&gt;3.99,"Exceed Expectation",IF(B29&gt;=2.99,"Meet Expectation",IF(B29&gt;1.9,"Below Expectation","Unsatisfactory"))))</f>
        <v>Meet Expectation</v>
      </c>
    </row>
    <row r="32" customFormat="false" ht="15" hidden="false" customHeight="false" outlineLevel="0" collapsed="false">
      <c r="A32" s="56" t="s">
        <v>203</v>
      </c>
    </row>
    <row r="33" customFormat="false" ht="15" hidden="false" customHeight="false" outlineLevel="0" collapsed="false">
      <c r="A33" s="38" t="s">
        <v>204</v>
      </c>
      <c r="B33" s="57" t="str">
        <f aca="false">'RAW DATA Q2 - 1'!FP12</f>
        <v>Yes</v>
      </c>
    </row>
    <row r="34" customFormat="false" ht="15" hidden="false" customHeight="false" outlineLevel="0" collapsed="false">
      <c r="A34" s="38" t="s">
        <v>205</v>
      </c>
      <c r="B34" s="57" t="str">
        <f aca="false">'RAW DATA Q2 - 1'!FQ12</f>
        <v>Yes</v>
      </c>
    </row>
    <row r="35" customFormat="false" ht="41.75" hidden="false" customHeight="false" outlineLevel="0" collapsed="false">
      <c r="A35" s="38" t="s">
        <v>206</v>
      </c>
      <c r="B35" s="57" t="str">
        <f aca="false">'RAW DATA Q2 - 1'!FR12</f>
        <v>Yes, DPIA completed and there are actions to be done by Project Owner</v>
      </c>
    </row>
    <row r="36" customFormat="false" ht="15" hidden="false" customHeight="false" outlineLevel="0" collapsed="false">
      <c r="A36" s="38" t="s">
        <v>207</v>
      </c>
      <c r="B36" s="57" t="str">
        <f aca="false">'RAW DATA Q2 - 1'!FS12</f>
        <v>Yes, DPSQ completed</v>
      </c>
    </row>
    <row r="37" customFormat="false" ht="41.75" hidden="false" customHeight="false" outlineLevel="0" collapsed="false">
      <c r="A37" s="38" t="s">
        <v>208</v>
      </c>
      <c r="B37" s="57" t="str">
        <f aca="false">'RAW DATA Q2 - 1'!FT12</f>
        <v>Yes, VSDDT completed and there are actions to be done by supplier</v>
      </c>
    </row>
    <row r="38" customFormat="false" ht="15" hidden="false" customHeight="false" outlineLevel="0" collapsed="false">
      <c r="A38" s="38" t="s">
        <v>209</v>
      </c>
    </row>
    <row r="40" customFormat="false" ht="15" hidden="false" customHeight="false" outlineLevel="0" collapsed="false">
      <c r="A40" s="56" t="s">
        <v>74</v>
      </c>
    </row>
    <row r="41" customFormat="false" ht="15" hidden="false" customHeight="false" outlineLevel="0" collapsed="false">
      <c r="B41" s="58" t="str">
        <f aca="false">'RAW DATA Q2 - 1'!FU12</f>
        <v>..</v>
      </c>
      <c r="C41" s="58"/>
      <c r="D41" s="58"/>
    </row>
  </sheetData>
  <mergeCells count="2">
    <mergeCell ref="A1:D1"/>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150</v>
      </c>
    </row>
    <row r="3" customFormat="false" ht="15" hidden="false" customHeight="false" outlineLevel="0" collapsed="false">
      <c r="A3" s="42" t="s">
        <v>56</v>
      </c>
      <c r="B3" s="38" t="s">
        <v>151</v>
      </c>
    </row>
    <row r="4" customFormat="false" ht="15" hidden="false" customHeight="false" outlineLevel="0" collapsed="false">
      <c r="A4" s="42" t="s">
        <v>191</v>
      </c>
      <c r="B4" s="38" t="s">
        <v>152</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Q2 - 1'!H$1</f>
        <v>How would you rate Supplier's ability to understand and meet your needs?</v>
      </c>
      <c r="D7" s="47" t="n">
        <f aca="false">'RAW DATA Q2 - 1'!H3</f>
        <v>3</v>
      </c>
    </row>
    <row r="8" customFormat="false" ht="26.85" hidden="false" customHeight="false" outlineLevel="0" collapsed="false">
      <c r="A8" s="45" t="n">
        <v>2</v>
      </c>
      <c r="B8" s="45" t="s">
        <v>195</v>
      </c>
      <c r="C8" s="46" t="str">
        <f aca="false">'RAW DATA Q2 - 1'!I$1</f>
        <v>How would you rate the Quality of fulfillment of specifications required by Perfect Assistant?</v>
      </c>
      <c r="D8" s="47" t="n">
        <f aca="false">'RAW DATA Q2 - 1'!I3</f>
        <v>3</v>
      </c>
    </row>
    <row r="9" customFormat="false" ht="39.55" hidden="false" customHeight="false" outlineLevel="0" collapsed="false">
      <c r="A9" s="45" t="n">
        <v>3</v>
      </c>
      <c r="B9" s="45" t="s">
        <v>195</v>
      </c>
      <c r="C9" s="46" t="str">
        <f aca="false">'RAW DATA Q2 - 1'!J$1</f>
        <v>How would you rate the data model of source of leads on customer level, which contains Existing Customers, Potential Customers, and Hot Leads?</v>
      </c>
      <c r="D9" s="47" t="n">
        <f aca="false">'RAW DATA Q2 - 1'!J3</f>
        <v>4</v>
      </c>
    </row>
    <row r="10" customFormat="false" ht="26.85" hidden="false" customHeight="false" outlineLevel="0" collapsed="false">
      <c r="A10" s="45" t="n">
        <v>4</v>
      </c>
      <c r="B10" s="45" t="s">
        <v>195</v>
      </c>
      <c r="C10" s="46" t="str">
        <f aca="false">'RAW DATA Q2 - 1'!K$1</f>
        <v>How would you rate the Leads activity evidence and result details, such as Call, Appointment, Visit, and Closing result evidence?</v>
      </c>
      <c r="D10" s="47" t="n">
        <f aca="false">'RAW DATA Q2 - 1'!K3</f>
        <v>4</v>
      </c>
    </row>
    <row r="11" customFormat="false" ht="26.85" hidden="false" customHeight="false" outlineLevel="0" collapsed="false">
      <c r="A11" s="45" t="n">
        <v>5</v>
      </c>
      <c r="B11" s="45" t="s">
        <v>195</v>
      </c>
      <c r="C11" s="46" t="str">
        <f aca="false">'RAW DATA Q2 - 1'!L$1</f>
        <v>How would you rate the Sales Activity Management process, as tracked by the Sales Leader and sorted by time range?</v>
      </c>
      <c r="D11" s="47" t="n">
        <f aca="false">'RAW DATA Q2 - 1'!L3</f>
        <v>4</v>
      </c>
    </row>
    <row r="12" customFormat="false" ht="15" hidden="false" customHeight="false" outlineLevel="0" collapsed="false">
      <c r="A12" s="45" t="n">
        <v>6</v>
      </c>
      <c r="B12" s="45" t="s">
        <v>195</v>
      </c>
      <c r="C12" s="46" t="str">
        <f aca="false">'RAW DATA Q2 - 1'!M$1</f>
        <v>How would you rate the Notification to Sales Team which consist of:</v>
      </c>
      <c r="D12" s="47" t="n">
        <f aca="false">'RAW DATA Q2 - 1'!M3</f>
        <v>4</v>
      </c>
    </row>
    <row r="13" customFormat="false" ht="39.55" hidden="false" customHeight="false" outlineLevel="0" collapsed="false">
      <c r="A13" s="45" t="n">
        <v>7</v>
      </c>
      <c r="B13" s="45" t="s">
        <v>195</v>
      </c>
      <c r="C13" s="46" t="str">
        <f aca="false">'RAW DATA Q2 - 1'!N$1</f>
        <v>How would you rate the telephony features which enable to mask either/both Customers’ and Agents’ personal phone number for better customer service and better protection of Customers’ privacy?</v>
      </c>
      <c r="D13" s="47" t="n">
        <f aca="false">'RAW DATA Q2 - 1'!N3</f>
        <v>4</v>
      </c>
    </row>
    <row r="14" customFormat="false" ht="39.55" hidden="false" customHeight="false" outlineLevel="0" collapsed="false">
      <c r="A14" s="45" t="n">
        <v>8</v>
      </c>
      <c r="B14" s="45" t="s">
        <v>195</v>
      </c>
      <c r="C14" s="46" t="str">
        <f aca="false">'RAW DATA Q2 - 1'!O$1</f>
        <v>How would you rate the assignment features which enable leaders to re-assign the leads to other FA (e.g. FA resigned or move to other branch then the Leads will be assigned to existing FA)?</v>
      </c>
      <c r="D14" s="47" t="n">
        <f aca="false">'RAW DATA Q2 - 1'!O3</f>
        <v>3</v>
      </c>
    </row>
    <row r="15" customFormat="false" ht="26.85" hidden="false" customHeight="false" outlineLevel="0" collapsed="false">
      <c r="A15" s="45" t="n">
        <v>9</v>
      </c>
      <c r="B15" s="45" t="s">
        <v>195</v>
      </c>
      <c r="C15" s="46" t="str">
        <f aca="false">'RAW DATA Q2 - 1'!P$1</f>
        <v>How would you rate the System Availability, Redundancy, and Overload Protection?</v>
      </c>
      <c r="D15" s="47" t="n">
        <f aca="false">'RAW DATA Q2 - 1'!P3</f>
        <v>3</v>
      </c>
    </row>
    <row r="16" customFormat="false" ht="15" hidden="false" customHeight="false" outlineLevel="0" collapsed="false">
      <c r="A16" s="45" t="n">
        <v>10</v>
      </c>
      <c r="B16" s="45" t="s">
        <v>195</v>
      </c>
      <c r="C16" s="46" t="str">
        <f aca="false">'RAW DATA Q2 - 1'!Q$1</f>
        <v>How would you rate the Security Access?</v>
      </c>
      <c r="D16" s="47" t="n">
        <f aca="false">'RAW DATA Q2 - 1'!Q3</f>
        <v>4</v>
      </c>
    </row>
    <row r="17" customFormat="false" ht="15" hidden="false" customHeight="false" outlineLevel="0" collapsed="false">
      <c r="A17" s="45" t="n">
        <v>11</v>
      </c>
      <c r="B17" s="45" t="s">
        <v>195</v>
      </c>
      <c r="C17" s="46" t="str">
        <f aca="false">'RAW DATA Q2 - 1'!R$1</f>
        <v>How would you rate the Audit Trail?</v>
      </c>
      <c r="D17" s="47" t="n">
        <f aca="false">'RAW DATA Q2 - 1'!R3</f>
        <v>4</v>
      </c>
    </row>
    <row r="18" customFormat="false" ht="26.85" hidden="false" customHeight="false" outlineLevel="0" collapsed="false">
      <c r="A18" s="45" t="n">
        <v>12</v>
      </c>
      <c r="B18" s="45" t="s">
        <v>195</v>
      </c>
      <c r="C18" s="46" t="str">
        <f aca="false">'RAW DATA Q2 - 1'!S$1</f>
        <v>How would you rate the Overall Supplier's reports including Report of Leads activity record and tracking?</v>
      </c>
      <c r="D18" s="47" t="n">
        <f aca="false">'RAW DATA Q2 - 1'!S3</f>
        <v>4</v>
      </c>
    </row>
    <row r="19" customFormat="false" ht="26.85" hidden="false" customHeight="false" outlineLevel="0" collapsed="false">
      <c r="A19" s="45" t="n">
        <v>13</v>
      </c>
      <c r="B19" s="45" t="s">
        <v>195</v>
      </c>
      <c r="C19" s="46" t="str">
        <f aca="false">'RAW DATA Q2 - 1'!T$1</f>
        <v>How would you rate the Resources / Authorized Personel Commitment and Qualification?</v>
      </c>
      <c r="D19" s="47" t="n">
        <f aca="false">'RAW DATA Q2 - 1'!T3</f>
        <v>4</v>
      </c>
    </row>
    <row r="20" customFormat="false" ht="26.85" hidden="false" customHeight="false" outlineLevel="0" collapsed="false">
      <c r="A20" s="45" t="n">
        <v>14</v>
      </c>
      <c r="B20" s="45" t="s">
        <v>195</v>
      </c>
      <c r="C20" s="46" t="str">
        <f aca="false">'RAW DATA Q2 - 1'!U$1</f>
        <v>How would you rate supplier initiative to take mitigation/preventive action to prevent recurring problem?</v>
      </c>
      <c r="D20" s="47" t="n">
        <f aca="false">'RAW DATA Q2 - 1'!U3</f>
        <v>4</v>
      </c>
    </row>
    <row r="21" customFormat="false" ht="26.85" hidden="false" customHeight="false" outlineLevel="0" collapsed="false">
      <c r="A21" s="45" t="n">
        <v>15</v>
      </c>
      <c r="B21" s="45" t="s">
        <v>195</v>
      </c>
      <c r="C21" s="46" t="str">
        <f aca="false">'RAW DATA Q2 - 1'!V$1</f>
        <v>How would you rate supplier compliance with administrative processes, including completion of draft cooperation contract?</v>
      </c>
      <c r="D21" s="47" t="n">
        <f aca="false">'RAW DATA Q2 - 1'!V3</f>
        <v>4</v>
      </c>
    </row>
    <row r="22" customFormat="false" ht="15" hidden="false" customHeight="false" outlineLevel="0" collapsed="false">
      <c r="A22" s="45" t="n">
        <v>16</v>
      </c>
      <c r="B22" s="45" t="s">
        <v>195</v>
      </c>
      <c r="C22" s="46" t="str">
        <f aca="false">'RAW DATA Q2 - 1'!W$1</f>
        <v>How would you rate the Integration with Perfect Assistant?</v>
      </c>
      <c r="D22" s="47" t="n">
        <f aca="false">'RAW DATA Q2 - 1'!W3</f>
        <v>4</v>
      </c>
    </row>
    <row r="23" customFormat="false" ht="15" hidden="false" customHeight="false" outlineLevel="0" collapsed="false">
      <c r="A23" s="45" t="n">
        <v>17</v>
      </c>
      <c r="B23" s="45" t="s">
        <v>195</v>
      </c>
      <c r="C23" s="46" t="str">
        <f aca="false">'RAW DATA Q2 - 1'!X$1</f>
        <v>How would you rate the use of channels to avoid customer data leaks?</v>
      </c>
      <c r="D23" s="47" t="n">
        <f aca="false">'RAW DATA Q2 - 1'!X3</f>
        <v>4</v>
      </c>
    </row>
    <row r="24" customFormat="false" ht="15" hidden="false" customHeight="false" outlineLevel="0" collapsed="false">
      <c r="A24" s="45" t="n">
        <v>18</v>
      </c>
      <c r="B24" s="45" t="s">
        <v>195</v>
      </c>
      <c r="C24" s="46" t="str">
        <f aca="false">'RAW DATA Q2 - 1'!Y$1</f>
        <v>How would you rate the Access to the recording dashboard?</v>
      </c>
      <c r="D24" s="47" t="n">
        <f aca="false">'RAW DATA Q2 - 1'!Y3</f>
        <v>3</v>
      </c>
    </row>
    <row r="25" customFormat="false" ht="15" hidden="false" customHeight="false" outlineLevel="0" collapsed="false">
      <c r="A25" s="45" t="n">
        <v>19</v>
      </c>
      <c r="B25" s="45" t="s">
        <v>195</v>
      </c>
      <c r="C25" s="46" t="str">
        <f aca="false">'RAW DATA Q2 - 1'!Z$1</f>
        <v>How would you rate the Security compare to its standard? </v>
      </c>
      <c r="D25" s="47" t="n">
        <f aca="false">'RAW DATA Q2 - 1'!Z3</f>
        <v>3</v>
      </c>
    </row>
    <row r="26" customFormat="false" ht="26.85" hidden="false" customHeight="false" outlineLevel="0" collapsed="false">
      <c r="A26" s="48" t="n">
        <v>20</v>
      </c>
      <c r="B26" s="48" t="s">
        <v>196</v>
      </c>
      <c r="C26" s="49" t="str">
        <f aca="false">'RAW DATA Q2 - 1'!EU$1</f>
        <v>How would you rate the supplier's timeliness in delivering goods/services compared to the agreed-upon timeline?</v>
      </c>
      <c r="D26" s="50" t="n">
        <f aca="false">'RAW DATA Q2 - 1'!EU3</f>
        <v>3</v>
      </c>
    </row>
    <row r="27" customFormat="false" ht="15" hidden="false" customHeight="false" outlineLevel="0" collapsed="false">
      <c r="A27" s="48" t="n">
        <v>21</v>
      </c>
      <c r="B27" s="48" t="s">
        <v>196</v>
      </c>
      <c r="C27" s="49" t="str">
        <f aca="false">'RAW DATA Q2 - 1'!EV$1</f>
        <v>How would you rate the supplier's timeliness in sending reports to you?</v>
      </c>
      <c r="D27" s="50" t="n">
        <f aca="false">'RAW DATA Q2 - 1'!EV3</f>
        <v>3</v>
      </c>
    </row>
    <row r="28" customFormat="false" ht="26.85" hidden="false" customHeight="false" outlineLevel="0" collapsed="false">
      <c r="A28" s="48" t="n">
        <v>22</v>
      </c>
      <c r="B28" s="48" t="s">
        <v>196</v>
      </c>
      <c r="C28" s="49" t="str">
        <f aca="false">'RAW DATA Q2 - 1'!EW$1</f>
        <v>How would you rate the supplier's speed ​​of administrative completion, including completion of contracts draft?</v>
      </c>
      <c r="D28" s="50" t="n">
        <f aca="false">'RAW DATA Q2 - 1'!EW3</f>
        <v>3</v>
      </c>
    </row>
    <row r="29" customFormat="false" ht="15" hidden="false" customHeight="false" outlineLevel="0" collapsed="false">
      <c r="A29" s="51" t="n">
        <v>23</v>
      </c>
      <c r="B29" s="51" t="s">
        <v>197</v>
      </c>
      <c r="C29" s="52" t="str">
        <f aca="false">'RAW DATA Q2 - 1'!FM$1</f>
        <v>How would you rate the supplier's communication with you?</v>
      </c>
      <c r="D29" s="53" t="n">
        <f aca="false">'RAW DATA Q2 - 1'!FM3</f>
        <v>4</v>
      </c>
    </row>
    <row r="30" customFormat="false" ht="26.85" hidden="false" customHeight="false" outlineLevel="0" collapsed="false">
      <c r="A30" s="51" t="n">
        <v>24</v>
      </c>
      <c r="B30" s="51" t="s">
        <v>197</v>
      </c>
      <c r="C30" s="52" t="str">
        <f aca="false">'RAW DATA Q2 - 1'!FN$1</f>
        <v>How would you rate the supplier's PIC's availability to be contacted when needed?</v>
      </c>
      <c r="D30" s="53" t="n">
        <f aca="false">'RAW DATA Q2 - 1'!FN3</f>
        <v>4</v>
      </c>
    </row>
    <row r="31" customFormat="false" ht="39.55" hidden="false" customHeight="false" outlineLevel="0" collapsed="false">
      <c r="A31" s="51" t="n">
        <v>25</v>
      </c>
      <c r="B31" s="51" t="s">
        <v>197</v>
      </c>
      <c r="C31" s="52" t="str">
        <f aca="false">'RAW DATA Q2 - 1'!FO$1</f>
        <v>How would you rate the supplier's response speed to you when there are issues?
</v>
      </c>
      <c r="D31" s="53" t="n">
        <f aca="false">'RAW DATA Q2 - 1'!FO3</f>
        <v>3</v>
      </c>
    </row>
    <row r="33" customFormat="false" ht="15" hidden="false" customHeight="false" outlineLevel="0" collapsed="false">
      <c r="A33" s="42" t="s">
        <v>198</v>
      </c>
      <c r="B33" s="54" t="n">
        <f aca="false">AVERAGEIF(B7:B31,"Quality",D7:D31)</f>
        <v>3.68421052631579</v>
      </c>
    </row>
    <row r="34" customFormat="false" ht="15" hidden="false" customHeight="false" outlineLevel="0" collapsed="false">
      <c r="A34" s="42" t="s">
        <v>199</v>
      </c>
      <c r="B34" s="54" t="n">
        <f aca="false">AVERAGEIF(B7:B31,"Timeline",D7:D31)</f>
        <v>3</v>
      </c>
    </row>
    <row r="35" customFormat="false" ht="15" hidden="false" customHeight="false" outlineLevel="0" collapsed="false">
      <c r="A35" s="42" t="s">
        <v>200</v>
      </c>
      <c r="B35" s="54" t="n">
        <f aca="false">AVERAGEIF(B7:B31,"Relationship",D7:D31)</f>
        <v>3.66666666666667</v>
      </c>
    </row>
    <row r="36" customFormat="false" ht="15" hidden="false" customHeight="false" outlineLevel="0" collapsed="false">
      <c r="A36" s="42" t="s">
        <v>201</v>
      </c>
      <c r="B36" s="55" t="n">
        <f aca="false">B33*0.35+B34*0.35+B35*0.3</f>
        <v>3.43947368421053</v>
      </c>
    </row>
    <row r="37" customFormat="false" ht="15" hidden="false" customHeight="false" outlineLevel="0" collapsed="false">
      <c r="A37" s="42" t="s">
        <v>202</v>
      </c>
      <c r="B37" s="42" t="str">
        <f aca="false">IF(B36&gt;4.99,"Exceptional",IF(B36&gt;3.99,"Exceed Expectation",IF(B36&gt;=2.99,"Meet Expectation",IF(B36&gt;1.9,"Below Expectation","Unsatisfactory"))))</f>
        <v>Meet Expectation</v>
      </c>
    </row>
    <row r="39" customFormat="false" ht="15" hidden="false" customHeight="false" outlineLevel="0" collapsed="false">
      <c r="A39" s="56" t="s">
        <v>203</v>
      </c>
    </row>
    <row r="40" customFormat="false" ht="15" hidden="false" customHeight="false" outlineLevel="0" collapsed="false">
      <c r="A40" s="38" t="s">
        <v>204</v>
      </c>
      <c r="B40" s="57" t="str">
        <f aca="false">'RAW DATA Q2 - 1'!FP3</f>
        <v>Yes</v>
      </c>
    </row>
    <row r="41" customFormat="false" ht="15" hidden="false" customHeight="false" outlineLevel="0" collapsed="false">
      <c r="A41" s="38" t="s">
        <v>205</v>
      </c>
      <c r="B41" s="57" t="str">
        <f aca="false">'RAW DATA Q2 - 1'!FQ3</f>
        <v>Yes</v>
      </c>
    </row>
    <row r="42" customFormat="false" ht="15" hidden="false" customHeight="false" outlineLevel="0" collapsed="false">
      <c r="A42" s="38" t="s">
        <v>206</v>
      </c>
      <c r="B42" s="57" t="str">
        <f aca="false">'RAW DATA Q2 - 1'!FR3</f>
        <v>No Implementation</v>
      </c>
    </row>
    <row r="43" customFormat="false" ht="15" hidden="false" customHeight="false" outlineLevel="0" collapsed="false">
      <c r="A43" s="38" t="s">
        <v>207</v>
      </c>
      <c r="B43" s="57" t="str">
        <f aca="false">'RAW DATA Q2 - 1'!FS3</f>
        <v>DPSQ not completed yet</v>
      </c>
    </row>
    <row r="44" customFormat="false" ht="15" hidden="false" customHeight="false" outlineLevel="0" collapsed="false">
      <c r="A44" s="38" t="s">
        <v>208</v>
      </c>
      <c r="B44" s="57" t="str">
        <f aca="false">'RAW DATA Q2 - 1'!FT3</f>
        <v>No Implementation</v>
      </c>
    </row>
    <row r="45" customFormat="false" ht="15" hidden="false" customHeight="false" outlineLevel="0" collapsed="false">
      <c r="A45" s="38" t="s">
        <v>209</v>
      </c>
    </row>
    <row r="47" customFormat="false" ht="15" hidden="false" customHeight="false" outlineLevel="0" collapsed="false">
      <c r="A47" s="56" t="s">
        <v>74</v>
      </c>
    </row>
    <row r="48" customFormat="false" ht="55.2" hidden="false" customHeight="false" outlineLevel="0" collapsed="false">
      <c r="B48" s="58" t="str">
        <f aca="false">'RAW DATA Q2 - 1'!FU3</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C48" s="58"/>
      <c r="D48" s="58"/>
    </row>
  </sheetData>
  <mergeCells count="2">
    <mergeCell ref="A1:D1"/>
    <mergeCell ref="B48:D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153</v>
      </c>
    </row>
    <row r="3" customFormat="false" ht="15" hidden="false" customHeight="false" outlineLevel="0" collapsed="false">
      <c r="A3" s="42" t="s">
        <v>56</v>
      </c>
      <c r="B3" s="38" t="s">
        <v>154</v>
      </c>
    </row>
    <row r="4" customFormat="false" ht="15" hidden="false" customHeight="false" outlineLevel="0" collapsed="false">
      <c r="A4" s="42" t="s">
        <v>191</v>
      </c>
      <c r="B4" s="38" t="s">
        <v>155</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Q2 - 1'!BJ$1</f>
        <v>How would you rate the goods/services provided by the Supplier against the agreed standards1</v>
      </c>
      <c r="D7" s="47" t="n">
        <f aca="false">'RAW DATA Q2 - 1'!BJ13</f>
        <v>4</v>
      </c>
    </row>
    <row r="8" customFormat="false" ht="26.85" hidden="false" customHeight="false" outlineLevel="0" collapsed="false">
      <c r="A8" s="45" t="n">
        <v>2</v>
      </c>
      <c r="B8" s="45" t="s">
        <v>195</v>
      </c>
      <c r="C8" s="46" t="str">
        <f aca="false">'RAW DATA Q2 - 1'!BK$1</f>
        <v>How would you rate overall quality of the work reports provided by the Supplier?3</v>
      </c>
      <c r="D8" s="47" t="n">
        <f aca="false">'RAW DATA Q2 - 1'!BK13</f>
        <v>4</v>
      </c>
    </row>
    <row r="9" customFormat="false" ht="15" hidden="false" customHeight="false" outlineLevel="0" collapsed="false">
      <c r="A9" s="45" t="n">
        <v>3</v>
      </c>
      <c r="B9" s="45" t="s">
        <v>195</v>
      </c>
      <c r="C9" s="46" t="str">
        <f aca="false">'RAW DATA Q2 - 1'!BL$1</f>
        <v>How would you rate the solutions provided when there is trouble?3</v>
      </c>
      <c r="D9" s="47" t="n">
        <f aca="false">'RAW DATA Q2 - 1'!BL13</f>
        <v>4</v>
      </c>
    </row>
    <row r="10" customFormat="false" ht="15" hidden="false" customHeight="false" outlineLevel="0" collapsed="false">
      <c r="A10" s="45" t="n">
        <v>4</v>
      </c>
      <c r="B10" s="45" t="s">
        <v>195</v>
      </c>
      <c r="C10" s="46" t="str">
        <f aca="false">'RAW DATA Q2 - 1'!BM$1</f>
        <v>How would you rate the resolution to the problem that occurred?3</v>
      </c>
      <c r="D10" s="47" t="n">
        <f aca="false">'RAW DATA Q2 - 1'!BM13</f>
        <v>4</v>
      </c>
    </row>
    <row r="11" customFormat="false" ht="26.85" hidden="false" customHeight="false" outlineLevel="0" collapsed="false">
      <c r="A11" s="45" t="n">
        <v>5</v>
      </c>
      <c r="B11" s="45" t="s">
        <v>195</v>
      </c>
      <c r="C11" s="46" t="str">
        <f aca="false">'RAW DATA Q2 - 1'!BN$1</f>
        <v>How would you rate the supplier initiative to take mitigation/preventive action to prevent the problem from recurring?3</v>
      </c>
      <c r="D11" s="47" t="n">
        <f aca="false">'RAW DATA Q2 - 1'!BN13</f>
        <v>4</v>
      </c>
    </row>
    <row r="12" customFormat="false" ht="15" hidden="false" customHeight="false" outlineLevel="0" collapsed="false">
      <c r="A12" s="45" t="n">
        <v>6</v>
      </c>
      <c r="B12" s="45" t="s">
        <v>195</v>
      </c>
      <c r="C12" s="46" t="str">
        <f aca="false">'RAW DATA Q2 - 1'!BO$1</f>
        <v>How would you rate the accuracy of the data in the Supplier's reports?2</v>
      </c>
      <c r="D12" s="47" t="n">
        <f aca="false">'RAW DATA Q2 - 1'!BO13</f>
        <v>4</v>
      </c>
    </row>
    <row r="13" customFormat="false" ht="26.85" hidden="false" customHeight="false" outlineLevel="0" collapsed="false">
      <c r="A13" s="45" t="n">
        <v>7</v>
      </c>
      <c r="B13" s="45" t="s">
        <v>195</v>
      </c>
      <c r="C13" s="46" t="str">
        <f aca="false">'RAW DATA Q2 - 1'!BP$1</f>
        <v>How would you rate the overall quality of the work reports provided by the Supplier?</v>
      </c>
      <c r="D13" s="47" t="n">
        <f aca="false">'RAW DATA Q2 - 1'!BP13</f>
        <v>4</v>
      </c>
    </row>
    <row r="14" customFormat="false" ht="26.85" hidden="false" customHeight="false" outlineLevel="0" collapsed="false">
      <c r="A14" s="45" t="n">
        <v>8</v>
      </c>
      <c r="B14" s="45" t="s">
        <v>195</v>
      </c>
      <c r="C14" s="46" t="str">
        <f aca="false">'RAW DATA Q2 - 1'!BQ$1</f>
        <v>How would you rate the competence of people provided by the supplier to provide support (understand AXITS and/or DMTM software)?</v>
      </c>
      <c r="D14" s="47" t="n">
        <f aca="false">'RAW DATA Q2 - 1'!BQ13</f>
        <v>4</v>
      </c>
    </row>
    <row r="15" customFormat="false" ht="39.55" hidden="false" customHeight="false" outlineLevel="0" collapsed="false">
      <c r="A15" s="45" t="n">
        <v>9</v>
      </c>
      <c r="B15" s="45" t="s">
        <v>195</v>
      </c>
      <c r="C15" s="46" t="str">
        <f aca="false">'RAW DATA Q2 - 1'!BR$1</f>
        <v>How would you rate the supplier support in providing the form of consultation, offsite and onsite support if there is a disruption to application operations?</v>
      </c>
      <c r="D15" s="47" t="n">
        <f aca="false">'RAW DATA Q2 - 1'!BR13</f>
        <v>4</v>
      </c>
    </row>
    <row r="16" customFormat="false" ht="39.55" hidden="false" customHeight="false" outlineLevel="0" collapsed="false">
      <c r="A16" s="45" t="n">
        <v>10</v>
      </c>
      <c r="B16" s="45" t="s">
        <v>195</v>
      </c>
      <c r="C16" s="46" t="str">
        <f aca="false">'RAW DATA Q2 - 1'!BS$1</f>
        <v>How would you rate the supplier support in doing periodic checks once every 3 months to maintain application quality, including application performance checks (profiling) and error log checks?</v>
      </c>
      <c r="D16" s="47" t="n">
        <f aca="false">'RAW DATA Q2 - 1'!BS13</f>
        <v>4</v>
      </c>
    </row>
    <row r="17" customFormat="false" ht="39.55" hidden="false" customHeight="false" outlineLevel="0" collapsed="false">
      <c r="A17" s="45" t="n">
        <v>11</v>
      </c>
      <c r="B17" s="45" t="s">
        <v>195</v>
      </c>
      <c r="C17" s="46" t="str">
        <f aca="false">'RAW DATA Q2 - 1'!BT$1</f>
        <v>How would you rate the supplier support for updating versions of components, frameworks and libraries issued by third parties with prior written approval from AXA if this is possible?</v>
      </c>
      <c r="D17" s="47" t="n">
        <f aca="false">'RAW DATA Q2 - 1'!BT13</f>
        <v>4</v>
      </c>
    </row>
    <row r="18" customFormat="false" ht="15" hidden="false" customHeight="false" outlineLevel="0" collapsed="false">
      <c r="A18" s="45" t="n">
        <v>12</v>
      </c>
      <c r="B18" s="45" t="s">
        <v>195</v>
      </c>
      <c r="C18" s="46" t="str">
        <f aca="false">'RAW DATA Q2 - 1'!BU$1</f>
        <v>How would you rate the suppliers support in compliance to security?</v>
      </c>
      <c r="D18" s="47" t="n">
        <f aca="false">'RAW DATA Q2 - 1'!BU13</f>
        <v>4</v>
      </c>
    </row>
    <row r="19" customFormat="false" ht="26.85" hidden="false" customHeight="false" outlineLevel="0" collapsed="false">
      <c r="A19" s="45" t="n">
        <v>13</v>
      </c>
      <c r="B19" s="45" t="s">
        <v>195</v>
      </c>
      <c r="C19" s="46" t="str">
        <f aca="false">'RAW DATA Q2 - 1'!BV$1</f>
        <v>How would you rate the supplier initiative to take mitigation/preventive action to prevent the problem from recurring?4</v>
      </c>
      <c r="D19" s="47" t="n">
        <f aca="false">'RAW DATA Q2 - 1'!BV13</f>
        <v>4</v>
      </c>
    </row>
    <row r="20" customFormat="false" ht="26.85" hidden="false" customHeight="false" outlineLevel="0" collapsed="false">
      <c r="A20" s="45" t="n">
        <v>14</v>
      </c>
      <c r="B20" s="45" t="s">
        <v>195</v>
      </c>
      <c r="C20" s="46" t="str">
        <f aca="false">'RAW DATA Q2 - 1'!BW$1</f>
        <v>How would you rate supplier compliance with administrative processes, including completion of draft cooperation contract?4</v>
      </c>
      <c r="D20" s="47" t="n">
        <f aca="false">'RAW DATA Q2 - 1'!BW13</f>
        <v>4</v>
      </c>
    </row>
    <row r="21" customFormat="false" ht="26.85" hidden="false" customHeight="false" outlineLevel="0" collapsed="false">
      <c r="A21" s="48" t="n">
        <v>15</v>
      </c>
      <c r="B21" s="48" t="s">
        <v>196</v>
      </c>
      <c r="C21" s="49" t="str">
        <f aca="false">'RAW DATA Q2 - 1'!FF$1</f>
        <v>How would you rate the Supplier's timeliness in delivering goods/services compared to the agreed-upon timeline?3</v>
      </c>
      <c r="D21" s="50" t="n">
        <f aca="false">'RAW DATA Q2 - 1'!FF13</f>
        <v>4</v>
      </c>
    </row>
    <row r="22" customFormat="false" ht="39.55" hidden="false" customHeight="false" outlineLevel="0" collapsed="false">
      <c r="A22" s="48" t="n">
        <v>16</v>
      </c>
      <c r="B22" s="48" t="s">
        <v>196</v>
      </c>
      <c r="C22" s="49" t="str">
        <f aca="false">'RAW DATA Q2 - 1'!FG$1</f>
        <v>How would you rate the supplier's timeliness in sending reports to you? Based on SLA, support reports should be sent every 3 months on the 10th</v>
      </c>
      <c r="D22" s="50" t="n">
        <f aca="false">'RAW DATA Q2 - 1'!FG13</f>
        <v>4</v>
      </c>
    </row>
    <row r="23" customFormat="false" ht="26.85" hidden="false" customHeight="false" outlineLevel="0" collapsed="false">
      <c r="A23" s="48" t="n">
        <v>17</v>
      </c>
      <c r="B23" s="48" t="s">
        <v>196</v>
      </c>
      <c r="C23" s="49" t="str">
        <f aca="false">'RAW DATA Q2 - 1'!FH$1</f>
        <v>How would you rate the supplier's speed ​​of administrative completion, including completion of contracts draft?1</v>
      </c>
      <c r="D23" s="50" t="n">
        <f aca="false">'RAW DATA Q2 - 1'!FH13</f>
        <v>4</v>
      </c>
    </row>
    <row r="24" customFormat="false" ht="15" hidden="false" customHeight="false" outlineLevel="0" collapsed="false">
      <c r="A24" s="48" t="n">
        <v>18</v>
      </c>
      <c r="B24" s="48" t="s">
        <v>196</v>
      </c>
      <c r="C24" s="49" t="str">
        <f aca="false">'RAW DATA Q2 - 1'!FI$1</f>
        <v>How would you rate the supplier's resolution time?</v>
      </c>
      <c r="D24" s="50" t="n">
        <f aca="false">'RAW DATA Q2 - 1'!FI13</f>
        <v>4</v>
      </c>
    </row>
    <row r="25" customFormat="false" ht="15" hidden="false" customHeight="false" outlineLevel="0" collapsed="false">
      <c r="A25" s="51" t="n">
        <v>19</v>
      </c>
      <c r="B25" s="51" t="s">
        <v>197</v>
      </c>
      <c r="C25" s="52" t="str">
        <f aca="false">'RAW DATA Q2 - 1'!FM$1</f>
        <v>How would you rate the supplier's communication with you?</v>
      </c>
      <c r="D25" s="53" t="n">
        <f aca="false">'RAW DATA Q2 - 1'!FM13</f>
        <v>5</v>
      </c>
    </row>
    <row r="26" customFormat="false" ht="26.85" hidden="false" customHeight="false" outlineLevel="0" collapsed="false">
      <c r="A26" s="51" t="n">
        <v>20</v>
      </c>
      <c r="B26" s="51" t="s">
        <v>197</v>
      </c>
      <c r="C26" s="52" t="str">
        <f aca="false">'RAW DATA Q2 - 1'!FN$1</f>
        <v>How would you rate the supplier's PIC's availability to be contacted when needed?</v>
      </c>
      <c r="D26" s="53" t="n">
        <f aca="false">'RAW DATA Q2 - 1'!FN13</f>
        <v>5</v>
      </c>
    </row>
    <row r="27" customFormat="false" ht="39.55" hidden="false" customHeight="false" outlineLevel="0" collapsed="false">
      <c r="A27" s="51" t="n">
        <v>21</v>
      </c>
      <c r="B27" s="51" t="s">
        <v>197</v>
      </c>
      <c r="C27" s="52" t="str">
        <f aca="false">'RAW DATA Q2 - 1'!FO$1</f>
        <v>How would you rate the supplier's response speed to you when there are issues?
</v>
      </c>
      <c r="D27" s="53" t="n">
        <f aca="false">'RAW DATA Q2 - 1'!FO13</f>
        <v>5</v>
      </c>
    </row>
    <row r="29" customFormat="false" ht="15" hidden="false" customHeight="false" outlineLevel="0" collapsed="false">
      <c r="A29" s="42" t="s">
        <v>198</v>
      </c>
      <c r="B29" s="54" t="n">
        <f aca="false">AVERAGEIF(B7:B27,"Quality",D7:D27)</f>
        <v>4</v>
      </c>
    </row>
    <row r="30" customFormat="false" ht="15" hidden="false" customHeight="false" outlineLevel="0" collapsed="false">
      <c r="A30" s="42" t="s">
        <v>199</v>
      </c>
      <c r="B30" s="54" t="n">
        <f aca="false">AVERAGEIF(B7:B27,"Timeline",D7:D27)</f>
        <v>4</v>
      </c>
    </row>
    <row r="31" customFormat="false" ht="15" hidden="false" customHeight="false" outlineLevel="0" collapsed="false">
      <c r="A31" s="42" t="s">
        <v>200</v>
      </c>
      <c r="B31" s="54" t="n">
        <f aca="false">AVERAGEIF(B7:B27,"Relationship",D7:D27)</f>
        <v>5</v>
      </c>
    </row>
    <row r="32" customFormat="false" ht="15" hidden="false" customHeight="false" outlineLevel="0" collapsed="false">
      <c r="A32" s="42" t="s">
        <v>201</v>
      </c>
      <c r="B32" s="55" t="n">
        <f aca="false">B29*0.35+B30*0.35+B31*0.3</f>
        <v>4.3</v>
      </c>
    </row>
    <row r="33" customFormat="false" ht="15" hidden="false" customHeight="false" outlineLevel="0" collapsed="false">
      <c r="A33" s="42" t="s">
        <v>202</v>
      </c>
      <c r="B33" s="42" t="str">
        <f aca="false">IF(B32&gt;4.99,"Exceptional",IF(B32&gt;3.99,"Exceed Expectation",IF(B32&gt;=2.99,"Meet Expectation",IF(B32&gt;1.9,"Below Expectation","Unsatisfactory"))))</f>
        <v>Exceed Expectation</v>
      </c>
    </row>
    <row r="35" customFormat="false" ht="15" hidden="false" customHeight="false" outlineLevel="0" collapsed="false">
      <c r="A35" s="56" t="s">
        <v>203</v>
      </c>
    </row>
    <row r="36" customFormat="false" ht="15" hidden="false" customHeight="false" outlineLevel="0" collapsed="false">
      <c r="A36" s="38" t="s">
        <v>204</v>
      </c>
      <c r="B36" s="57" t="str">
        <f aca="false">'RAW DATA Q2 - 1'!FP13</f>
        <v>Yes</v>
      </c>
    </row>
    <row r="37" customFormat="false" ht="15" hidden="false" customHeight="false" outlineLevel="0" collapsed="false">
      <c r="A37" s="38" t="s">
        <v>205</v>
      </c>
      <c r="B37" s="57" t="str">
        <f aca="false">'RAW DATA Q2 - 1'!FQ13</f>
        <v>Yes</v>
      </c>
    </row>
    <row r="38" customFormat="false" ht="41.75" hidden="false" customHeight="false" outlineLevel="0" collapsed="false">
      <c r="A38" s="38" t="s">
        <v>206</v>
      </c>
      <c r="B38" s="57" t="str">
        <f aca="false">'RAW DATA Q2 - 1'!FR13</f>
        <v>Yes, DPIA completed and there are actions to be done by Project Owner</v>
      </c>
    </row>
    <row r="39" customFormat="false" ht="15" hidden="false" customHeight="false" outlineLevel="0" collapsed="false">
      <c r="A39" s="38" t="s">
        <v>207</v>
      </c>
      <c r="B39" s="57" t="str">
        <f aca="false">'RAW DATA Q2 - 1'!FS13</f>
        <v>No Implementation</v>
      </c>
    </row>
    <row r="40" customFormat="false" ht="41.75" hidden="false" customHeight="false" outlineLevel="0" collapsed="false">
      <c r="A40" s="38" t="s">
        <v>208</v>
      </c>
      <c r="B40" s="57" t="str">
        <f aca="false">'RAW DATA Q2 - 1'!FT13</f>
        <v>Yes, VSDDT completed and there are actions to be done by supplier</v>
      </c>
    </row>
    <row r="41" customFormat="false" ht="15" hidden="false" customHeight="false" outlineLevel="0" collapsed="false">
      <c r="A41" s="38" t="s">
        <v>209</v>
      </c>
    </row>
    <row r="43" customFormat="false" ht="15" hidden="false" customHeight="false" outlineLevel="0" collapsed="false">
      <c r="A43" s="56" t="s">
        <v>74</v>
      </c>
    </row>
    <row r="44" customFormat="false" ht="15" hidden="false" customHeight="false" outlineLevel="0" collapsed="false">
      <c r="B44" s="58" t="str">
        <f aca="false">'RAW DATA Q2 - 1'!FU13</f>
        <v>Ciptadra selalu fast response ketika ada incident yang terjadi di DMTM</v>
      </c>
      <c r="C44" s="58"/>
      <c r="D44" s="58"/>
    </row>
  </sheetData>
  <mergeCells count="2">
    <mergeCell ref="A1:D1"/>
    <mergeCell ref="B44:D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156</v>
      </c>
    </row>
    <row r="3" customFormat="false" ht="15" hidden="false" customHeight="false" outlineLevel="0" collapsed="false">
      <c r="A3" s="42" t="s">
        <v>56</v>
      </c>
      <c r="B3" s="38" t="s">
        <v>157</v>
      </c>
    </row>
    <row r="4" customFormat="false" ht="15" hidden="false" customHeight="false" outlineLevel="0" collapsed="false">
      <c r="A4" s="42" t="s">
        <v>191</v>
      </c>
      <c r="B4" s="38" t="s">
        <v>158</v>
      </c>
    </row>
    <row r="6" customFormat="false" ht="15" hidden="false" customHeight="false" outlineLevel="0" collapsed="false">
      <c r="A6" s="43" t="s">
        <v>78</v>
      </c>
      <c r="B6" s="43" t="s">
        <v>192</v>
      </c>
      <c r="C6" s="44" t="s">
        <v>193</v>
      </c>
      <c r="D6" s="43" t="s">
        <v>194</v>
      </c>
    </row>
    <row r="7" customFormat="false" ht="15" hidden="false" customHeight="false" outlineLevel="0" collapsed="false">
      <c r="A7" s="45" t="n">
        <v>1</v>
      </c>
      <c r="B7" s="45" t="s">
        <v>195</v>
      </c>
      <c r="C7" s="46" t="str">
        <f aca="false">'RAW DATA Q2 - 1'!EF$1</f>
        <v>How would you rate the service provided?1</v>
      </c>
      <c r="D7" s="47" t="n">
        <f aca="false">'RAW DATA Q2 - 1'!EF4</f>
        <v>3</v>
      </c>
    </row>
    <row r="8" customFormat="false" ht="15" hidden="false" customHeight="false" outlineLevel="0" collapsed="false">
      <c r="A8" s="45" t="n">
        <v>2</v>
      </c>
      <c r="B8" s="45" t="s">
        <v>195</v>
      </c>
      <c r="C8" s="46" t="str">
        <f aca="false">'RAW DATA Q2 - 1'!EG$1</f>
        <v>How would you rate the accuracy of the data in the Supplier's reports?7</v>
      </c>
      <c r="D8" s="47" t="n">
        <f aca="false">'RAW DATA Q2 - 1'!EG4</f>
        <v>3</v>
      </c>
    </row>
    <row r="9" customFormat="false" ht="26.85" hidden="false" customHeight="false" outlineLevel="0" collapsed="false">
      <c r="A9" s="45" t="n">
        <v>3</v>
      </c>
      <c r="B9" s="45" t="s">
        <v>195</v>
      </c>
      <c r="C9" s="46" t="str">
        <f aca="false">'RAW DATA Q2 - 1'!EH$1</f>
        <v>How would you rate overall quality of the work reports provided by the Supplier?7</v>
      </c>
      <c r="D9" s="47" t="n">
        <f aca="false">'RAW DATA Q2 - 1'!EH4</f>
        <v>3</v>
      </c>
    </row>
    <row r="10" customFormat="false" ht="15" hidden="false" customHeight="false" outlineLevel="0" collapsed="false">
      <c r="A10" s="45" t="n">
        <v>4</v>
      </c>
      <c r="B10" s="45" t="s">
        <v>195</v>
      </c>
      <c r="C10" s="46" t="str">
        <f aca="false">'RAW DATA Q2 - 1'!EI$1</f>
        <v>How would you rate the resolution to the problem that occurred?7</v>
      </c>
      <c r="D10" s="47" t="n">
        <f aca="false">'RAW DATA Q2 - 1'!EI4</f>
        <v>3</v>
      </c>
    </row>
    <row r="11" customFormat="false" ht="26.85" hidden="false" customHeight="false" outlineLevel="0" collapsed="false">
      <c r="A11" s="45" t="n">
        <v>5</v>
      </c>
      <c r="B11" s="45" t="s">
        <v>195</v>
      </c>
      <c r="C11" s="46" t="str">
        <f aca="false">'RAW DATA Q2 - 1'!EJ$1</f>
        <v>How would you rate the supplier initiative to take mitigation/preventive action to prevent the problem from recurring?8</v>
      </c>
      <c r="D11" s="47" t="n">
        <f aca="false">'RAW DATA Q2 - 1'!EJ4</f>
        <v>2</v>
      </c>
    </row>
    <row r="12" customFormat="false" ht="26.85" hidden="false" customHeight="false" outlineLevel="0" collapsed="false">
      <c r="A12" s="45" t="n">
        <v>6</v>
      </c>
      <c r="B12" s="45" t="s">
        <v>195</v>
      </c>
      <c r="C12" s="46" t="str">
        <f aca="false">'RAW DATA Q2 - 1'!EK$1</f>
        <v>How would you rate supplier compliance with administrative processes, including completion of draft cooperation contract?7</v>
      </c>
      <c r="D12" s="47" t="n">
        <f aca="false">'RAW DATA Q2 - 1'!EK4</f>
        <v>3</v>
      </c>
    </row>
    <row r="13" customFormat="false" ht="26.85" hidden="false" customHeight="false" outlineLevel="0" collapsed="false">
      <c r="A13" s="48" t="n">
        <v>7</v>
      </c>
      <c r="B13" s="48" t="s">
        <v>196</v>
      </c>
      <c r="C13" s="49" t="str">
        <f aca="false">'RAW DATA Q2 - 1'!EU$1</f>
        <v>How would you rate the supplier's timeliness in delivering goods/services compared to the agreed-upon timeline?</v>
      </c>
      <c r="D13" s="50" t="n">
        <f aca="false">'RAW DATA Q2 - 1'!EU4</f>
        <v>3</v>
      </c>
    </row>
    <row r="14" customFormat="false" ht="15" hidden="false" customHeight="false" outlineLevel="0" collapsed="false">
      <c r="A14" s="48" t="n">
        <v>8</v>
      </c>
      <c r="B14" s="48" t="s">
        <v>196</v>
      </c>
      <c r="C14" s="49" t="str">
        <f aca="false">'RAW DATA Q2 - 1'!EV$1</f>
        <v>How would you rate the supplier's timeliness in sending reports to you?</v>
      </c>
      <c r="D14" s="50" t="n">
        <f aca="false">'RAW DATA Q2 - 1'!EV4</f>
        <v>3</v>
      </c>
    </row>
    <row r="15" customFormat="false" ht="26.85" hidden="false" customHeight="false" outlineLevel="0" collapsed="false">
      <c r="A15" s="48" t="n">
        <v>9</v>
      </c>
      <c r="B15" s="48" t="s">
        <v>196</v>
      </c>
      <c r="C15" s="49" t="str">
        <f aca="false">'RAW DATA Q2 - 1'!EW$1</f>
        <v>How would you rate the supplier's speed ​​of administrative completion, including completion of contracts draft?</v>
      </c>
      <c r="D15" s="50" t="n">
        <f aca="false">'RAW DATA Q2 - 1'!EW4</f>
        <v>3</v>
      </c>
    </row>
    <row r="16" customFormat="false" ht="15" hidden="false" customHeight="false" outlineLevel="0" collapsed="false">
      <c r="A16" s="51" t="n">
        <v>10</v>
      </c>
      <c r="B16" s="51" t="s">
        <v>197</v>
      </c>
      <c r="C16" s="52" t="str">
        <f aca="false">'RAW DATA Q2 - 1'!FM$1</f>
        <v>How would you rate the supplier's communication with you?</v>
      </c>
      <c r="D16" s="53" t="n">
        <f aca="false">'RAW DATA Q2 - 1'!FM4</f>
        <v>3</v>
      </c>
    </row>
    <row r="17" customFormat="false" ht="26.85" hidden="false" customHeight="false" outlineLevel="0" collapsed="false">
      <c r="A17" s="51" t="n">
        <v>11</v>
      </c>
      <c r="B17" s="51" t="s">
        <v>197</v>
      </c>
      <c r="C17" s="52" t="str">
        <f aca="false">'RAW DATA Q2 - 1'!FN$1</f>
        <v>How would you rate the supplier's PIC's availability to be contacted when needed?</v>
      </c>
      <c r="D17" s="53" t="n">
        <f aca="false">'RAW DATA Q2 - 1'!FN4</f>
        <v>3</v>
      </c>
    </row>
    <row r="18" customFormat="false" ht="39.55" hidden="false" customHeight="false" outlineLevel="0" collapsed="false">
      <c r="A18" s="51" t="n">
        <v>12</v>
      </c>
      <c r="B18" s="51" t="s">
        <v>197</v>
      </c>
      <c r="C18" s="52" t="str">
        <f aca="false">'RAW DATA Q2 - 1'!FO$1</f>
        <v>How would you rate the supplier's response speed to you when there are issues?
</v>
      </c>
      <c r="D18" s="53" t="n">
        <f aca="false">'RAW DATA Q2 - 1'!FO4</f>
        <v>3</v>
      </c>
    </row>
    <row r="20" customFormat="false" ht="15" hidden="false" customHeight="false" outlineLevel="0" collapsed="false">
      <c r="A20" s="42" t="s">
        <v>198</v>
      </c>
      <c r="B20" s="54" t="n">
        <f aca="false">AVERAGEIF(B7:B18,"Quality",D7:D18)</f>
        <v>2.83333333333333</v>
      </c>
    </row>
    <row r="21" customFormat="false" ht="15" hidden="false" customHeight="false" outlineLevel="0" collapsed="false">
      <c r="A21" s="42" t="s">
        <v>199</v>
      </c>
      <c r="B21" s="54" t="n">
        <f aca="false">AVERAGEIF(B7:B18,"Timeline",D7:D18)</f>
        <v>3</v>
      </c>
    </row>
    <row r="22" customFormat="false" ht="15" hidden="false" customHeight="false" outlineLevel="0" collapsed="false">
      <c r="A22" s="42" t="s">
        <v>200</v>
      </c>
      <c r="B22" s="54" t="n">
        <f aca="false">AVERAGEIF(B7:B18,"Relationship",D7:D18)</f>
        <v>3</v>
      </c>
    </row>
    <row r="23" customFormat="false" ht="15" hidden="false" customHeight="false" outlineLevel="0" collapsed="false">
      <c r="A23" s="42" t="s">
        <v>201</v>
      </c>
      <c r="B23" s="55" t="n">
        <f aca="false">B20*0.35+B21*0.35+B22*0.3</f>
        <v>2.94166666666667</v>
      </c>
    </row>
    <row r="24" customFormat="false" ht="15" hidden="false" customHeight="false" outlineLevel="0" collapsed="false">
      <c r="A24" s="42" t="s">
        <v>202</v>
      </c>
      <c r="B24" s="42" t="str">
        <f aca="false">IF(B23&gt;4.99,"Exceptional",IF(B23&gt;3.99,"Exceed Expectation",IF(B23&gt;=2.99,"Meet Expectation",IF(B23&gt;1.9,"Below Expectation","Unsatisfactory"))))</f>
        <v>Below Expectation</v>
      </c>
    </row>
    <row r="26" customFormat="false" ht="15" hidden="false" customHeight="false" outlineLevel="0" collapsed="false">
      <c r="A26" s="56" t="s">
        <v>203</v>
      </c>
    </row>
    <row r="27" customFormat="false" ht="15" hidden="false" customHeight="false" outlineLevel="0" collapsed="false">
      <c r="A27" s="38" t="s">
        <v>204</v>
      </c>
      <c r="B27" s="57" t="str">
        <f aca="false">'RAW DATA Q2 - 1'!FP4</f>
        <v>Yes</v>
      </c>
    </row>
    <row r="28" customFormat="false" ht="15" hidden="false" customHeight="false" outlineLevel="0" collapsed="false">
      <c r="A28" s="38" t="s">
        <v>205</v>
      </c>
      <c r="B28" s="57" t="str">
        <f aca="false">'RAW DATA Q2 - 1'!FQ4</f>
        <v>Yes</v>
      </c>
    </row>
    <row r="29" customFormat="false" ht="41.75" hidden="false" customHeight="false" outlineLevel="0" collapsed="false">
      <c r="A29" s="38" t="s">
        <v>206</v>
      </c>
      <c r="B29" s="57" t="str">
        <f aca="false">'RAW DATA Q2 - 1'!FR4</f>
        <v>Yes, DPIA completed and there are actions to be done by Project Owner</v>
      </c>
    </row>
    <row r="30" customFormat="false" ht="15" hidden="false" customHeight="false" outlineLevel="0" collapsed="false">
      <c r="A30" s="38" t="s">
        <v>207</v>
      </c>
      <c r="B30" s="57" t="str">
        <f aca="false">'RAW DATA Q2 - 1'!FS4</f>
        <v>No Implementation</v>
      </c>
    </row>
    <row r="31" customFormat="false" ht="41.75" hidden="false" customHeight="false" outlineLevel="0" collapsed="false">
      <c r="A31" s="38" t="s">
        <v>208</v>
      </c>
      <c r="B31" s="57" t="str">
        <f aca="false">'RAW DATA Q2 - 1'!FT4</f>
        <v>Yes, VSDDT completed and there are actions to be done by supplier</v>
      </c>
    </row>
    <row r="32" customFormat="false" ht="15" hidden="false" customHeight="false" outlineLevel="0" collapsed="false">
      <c r="A32" s="38" t="s">
        <v>209</v>
      </c>
    </row>
    <row r="34" customFormat="false" ht="15" hidden="false" customHeight="false" outlineLevel="0" collapsed="false">
      <c r="A34" s="56" t="s">
        <v>74</v>
      </c>
    </row>
    <row r="35" customFormat="false" ht="68.65" hidden="false" customHeight="false" outlineLevel="0" collapsed="false">
      <c r="B35" s="58" t="str">
        <f aca="false">'RAW DATA Q2 - 1'!FU4</f>
        <v>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v>
      </c>
      <c r="C35" s="58"/>
      <c r="D35" s="58"/>
    </row>
  </sheetData>
  <mergeCells count="2">
    <mergeCell ref="A1:D1"/>
    <mergeCell ref="B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159</v>
      </c>
    </row>
    <row r="3" customFormat="false" ht="15" hidden="false" customHeight="false" outlineLevel="0" collapsed="false">
      <c r="A3" s="42" t="s">
        <v>56</v>
      </c>
      <c r="B3" s="38" t="s">
        <v>160</v>
      </c>
    </row>
    <row r="4" customFormat="false" ht="15" hidden="false" customHeight="false" outlineLevel="0" collapsed="false">
      <c r="A4" s="42" t="s">
        <v>191</v>
      </c>
      <c r="B4" s="38" t="s">
        <v>161</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Q2 - 1'!BX$1</f>
        <v>How would you rate the goods/services provided by the Supplier against the agreed standards2</v>
      </c>
      <c r="D7" s="47" t="n">
        <f aca="false">'RAW DATA Q2 - 1'!BX2</f>
        <v>4</v>
      </c>
    </row>
    <row r="8" customFormat="false" ht="26.85" hidden="false" customHeight="false" outlineLevel="0" collapsed="false">
      <c r="A8" s="45" t="n">
        <v>2</v>
      </c>
      <c r="B8" s="45" t="s">
        <v>195</v>
      </c>
      <c r="C8" s="46" t="str">
        <f aca="false">'RAW DATA Q2 - 1'!BY$1</f>
        <v>How would you rate the Customer Interaction Requirement which includes:</v>
      </c>
      <c r="D8" s="47" t="n">
        <f aca="false">'RAW DATA Q2 - 1'!BY2</f>
        <v>4</v>
      </c>
    </row>
    <row r="9" customFormat="false" ht="15" hidden="false" customHeight="false" outlineLevel="0" collapsed="false">
      <c r="A9" s="45" t="n">
        <v>3</v>
      </c>
      <c r="B9" s="45" t="s">
        <v>195</v>
      </c>
      <c r="C9" s="46" t="str">
        <f aca="false">'RAW DATA Q2 - 1'!BZ$1</f>
        <v>How would you rate the Case Management which includes:</v>
      </c>
      <c r="D9" s="47" t="n">
        <f aca="false">'RAW DATA Q2 - 1'!BZ2</f>
        <v>4</v>
      </c>
    </row>
    <row r="10" customFormat="false" ht="15" hidden="false" customHeight="false" outlineLevel="0" collapsed="false">
      <c r="A10" s="45" t="n">
        <v>4</v>
      </c>
      <c r="B10" s="45" t="s">
        <v>195</v>
      </c>
      <c r="C10" s="46" t="str">
        <f aca="false">'RAW DATA Q2 - 1'!CA$1</f>
        <v>How would you rate the Integration process which includes:</v>
      </c>
      <c r="D10" s="47" t="n">
        <f aca="false">'RAW DATA Q2 - 1'!CA2</f>
        <v>4</v>
      </c>
    </row>
    <row r="11" customFormat="false" ht="15" hidden="false" customHeight="false" outlineLevel="0" collapsed="false">
      <c r="A11" s="45" t="n">
        <v>5</v>
      </c>
      <c r="B11" s="45" t="s">
        <v>195</v>
      </c>
      <c r="C11" s="46" t="str">
        <f aca="false">'RAW DATA Q2 - 1'!CB$1</f>
        <v>How would you rate the Architectural Requirement?</v>
      </c>
      <c r="D11" s="47" t="n">
        <f aca="false">'RAW DATA Q2 - 1'!CB2</f>
        <v>4</v>
      </c>
    </row>
    <row r="12" customFormat="false" ht="15" hidden="false" customHeight="false" outlineLevel="0" collapsed="false">
      <c r="A12" s="45" t="n">
        <v>6</v>
      </c>
      <c r="B12" s="45" t="s">
        <v>195</v>
      </c>
      <c r="C12" s="46" t="str">
        <f aca="false">'RAW DATA Q2 - 1'!CC$1</f>
        <v>How would you rate the Security Requirement?</v>
      </c>
      <c r="D12" s="47" t="n">
        <f aca="false">'RAW DATA Q2 - 1'!CC2</f>
        <v>4</v>
      </c>
    </row>
    <row r="13" customFormat="false" ht="26.85" hidden="false" customHeight="false" outlineLevel="0" collapsed="false">
      <c r="A13" s="45" t="n">
        <v>7</v>
      </c>
      <c r="B13" s="45" t="s">
        <v>195</v>
      </c>
      <c r="C13" s="46" t="str">
        <f aca="false">'RAW DATA Q2 - 1'!CD$1</f>
        <v>How would you rate the Backup and Restore, Capacity and Performance Requirements?</v>
      </c>
      <c r="D13" s="47" t="n">
        <f aca="false">'RAW DATA Q2 - 1'!CD2</f>
        <v>4</v>
      </c>
    </row>
    <row r="14" customFormat="false" ht="15" hidden="false" customHeight="false" outlineLevel="0" collapsed="false">
      <c r="A14" s="45" t="n">
        <v>8</v>
      </c>
      <c r="B14" s="45" t="s">
        <v>195</v>
      </c>
      <c r="C14" s="46" t="str">
        <f aca="false">'RAW DATA Q2 - 1'!CE$1</f>
        <v>How would you rate the Operational and Configuration Management?</v>
      </c>
      <c r="D14" s="47" t="n">
        <f aca="false">'RAW DATA Q2 - 1'!CE2</f>
        <v>4</v>
      </c>
    </row>
    <row r="15" customFormat="false" ht="15" hidden="false" customHeight="false" outlineLevel="0" collapsed="false">
      <c r="A15" s="45" t="n">
        <v>9</v>
      </c>
      <c r="B15" s="45" t="s">
        <v>195</v>
      </c>
      <c r="C15" s="46" t="str">
        <f aca="false">'RAW DATA Q2 - 1'!CF$1</f>
        <v>How would you rate the accuracy of the data in the Supplier's reports?3</v>
      </c>
      <c r="D15" s="47" t="n">
        <f aca="false">'RAW DATA Q2 - 1'!CF2</f>
        <v>4</v>
      </c>
    </row>
    <row r="16" customFormat="false" ht="26.85" hidden="false" customHeight="false" outlineLevel="0" collapsed="false">
      <c r="A16" s="45" t="n">
        <v>10</v>
      </c>
      <c r="B16" s="45" t="s">
        <v>195</v>
      </c>
      <c r="C16" s="46" t="str">
        <f aca="false">'RAW DATA Q2 - 1'!CG$1</f>
        <v>How would you rate overall quality of the work reports provided by the Supplier?4</v>
      </c>
      <c r="D16" s="47" t="n">
        <f aca="false">'RAW DATA Q2 - 1'!CG2</f>
        <v>4</v>
      </c>
    </row>
    <row r="17" customFormat="false" ht="15" hidden="false" customHeight="false" outlineLevel="0" collapsed="false">
      <c r="A17" s="45" t="n">
        <v>11</v>
      </c>
      <c r="B17" s="45" t="s">
        <v>195</v>
      </c>
      <c r="C17" s="46" t="str">
        <f aca="false">'RAW DATA Q2 - 1'!CH$1</f>
        <v>How would you rate the solutions provided when there is trouble?4</v>
      </c>
      <c r="D17" s="47" t="n">
        <f aca="false">'RAW DATA Q2 - 1'!CH2</f>
        <v>4</v>
      </c>
    </row>
    <row r="18" customFormat="false" ht="15" hidden="false" customHeight="false" outlineLevel="0" collapsed="false">
      <c r="A18" s="45" t="n">
        <v>12</v>
      </c>
      <c r="B18" s="45" t="s">
        <v>195</v>
      </c>
      <c r="C18" s="46" t="str">
        <f aca="false">'RAW DATA Q2 - 1'!CI$1</f>
        <v>How would you rate the resolution to the problem that occurred?4</v>
      </c>
      <c r="D18" s="47" t="n">
        <f aca="false">'RAW DATA Q2 - 1'!CI2</f>
        <v>4</v>
      </c>
    </row>
    <row r="19" customFormat="false" ht="26.85" hidden="false" customHeight="false" outlineLevel="0" collapsed="false">
      <c r="A19" s="45" t="n">
        <v>13</v>
      </c>
      <c r="B19" s="45" t="s">
        <v>195</v>
      </c>
      <c r="C19" s="46" t="str">
        <f aca="false">'RAW DATA Q2 - 1'!CJ$1</f>
        <v>How would you rate the speed of resolution given to problems that occur?3</v>
      </c>
      <c r="D19" s="47" t="n">
        <f aca="false">'RAW DATA Q2 - 1'!CJ2</f>
        <v>4</v>
      </c>
    </row>
    <row r="20" customFormat="false" ht="26.85" hidden="false" customHeight="false" outlineLevel="0" collapsed="false">
      <c r="A20" s="45" t="n">
        <v>14</v>
      </c>
      <c r="B20" s="45" t="s">
        <v>195</v>
      </c>
      <c r="C20" s="46" t="str">
        <f aca="false">'RAW DATA Q2 - 1'!CK$1</f>
        <v>How would you rate the supplier initiative to take mitigation/preventive action to prevent the problem from recurring?5</v>
      </c>
      <c r="D20" s="47" t="n">
        <f aca="false">'RAW DATA Q2 - 1'!CK2</f>
        <v>4</v>
      </c>
    </row>
    <row r="21" customFormat="false" ht="26.85" hidden="false" customHeight="false" outlineLevel="0" collapsed="false">
      <c r="A21" s="45" t="n">
        <v>15</v>
      </c>
      <c r="B21" s="45" t="s">
        <v>195</v>
      </c>
      <c r="C21" s="46" t="str">
        <f aca="false">'RAW DATA Q2 - 1'!CL$1</f>
        <v>How would you rate supplier compliance with administrative processes, including completion of draft cooperation contract?5</v>
      </c>
      <c r="D21" s="47" t="n">
        <f aca="false">'RAW DATA Q2 - 1'!CL2</f>
        <v>4</v>
      </c>
    </row>
    <row r="22" customFormat="false" ht="15" hidden="false" customHeight="false" outlineLevel="0" collapsed="false">
      <c r="A22" s="45" t="n">
        <v>16</v>
      </c>
      <c r="B22" s="45" t="s">
        <v>195</v>
      </c>
      <c r="C22" s="46" t="str">
        <f aca="false">'RAW DATA Q2 - 1'!CM$1</f>
        <v>How would you rate the accuracy of the data in the Supplier's reports?4</v>
      </c>
      <c r="D22" s="47" t="n">
        <f aca="false">'RAW DATA Q2 - 1'!CM2</f>
        <v>4</v>
      </c>
    </row>
    <row r="23" customFormat="false" ht="26.85" hidden="false" customHeight="false" outlineLevel="0" collapsed="false">
      <c r="A23" s="45" t="n">
        <v>17</v>
      </c>
      <c r="B23" s="45" t="s">
        <v>195</v>
      </c>
      <c r="C23" s="46" t="str">
        <f aca="false">'RAW DATA Q2 - 1'!CN$1</f>
        <v>How would you rate the overall quality of the work reports provided by the Supplier?1</v>
      </c>
      <c r="D23" s="47" t="n">
        <f aca="false">'RAW DATA Q2 - 1'!CN2</f>
        <v>4</v>
      </c>
    </row>
    <row r="24" customFormat="false" ht="26.85" hidden="false" customHeight="false" outlineLevel="0" collapsed="false">
      <c r="A24" s="45" t="n">
        <v>18</v>
      </c>
      <c r="B24" s="45" t="s">
        <v>195</v>
      </c>
      <c r="C24" s="46" t="str">
        <f aca="false">'RAW DATA Q2 - 1'!CO$1</f>
        <v>How would you rate the performing installation, setup and configuration of 3Dolphins?</v>
      </c>
      <c r="D24" s="47" t="n">
        <f aca="false">'RAW DATA Q2 - 1'!CO2</f>
        <v>4</v>
      </c>
    </row>
    <row r="25" customFormat="false" ht="15" hidden="false" customHeight="false" outlineLevel="0" collapsed="false">
      <c r="A25" s="45" t="n">
        <v>19</v>
      </c>
      <c r="B25" s="45" t="s">
        <v>195</v>
      </c>
      <c r="C25" s="46" t="str">
        <f aca="false">'RAW DATA Q2 - 1'!CP$1</f>
        <v>How would you rate the integration of 3Dolphins with SalesForce?</v>
      </c>
      <c r="D25" s="47" t="n">
        <f aca="false">'RAW DATA Q2 - 1'!CP2</f>
        <v>4</v>
      </c>
    </row>
    <row r="26" customFormat="false" ht="15" hidden="false" customHeight="false" outlineLevel="0" collapsed="false">
      <c r="A26" s="45" t="n">
        <v>20</v>
      </c>
      <c r="B26" s="45" t="s">
        <v>195</v>
      </c>
      <c r="C26" s="46" t="str">
        <f aca="false">'RAW DATA Q2 - 1'!CQ$1</f>
        <v>How would you rate the Chatbot Corpus with data provided by AXA?</v>
      </c>
      <c r="D26" s="47" t="n">
        <f aca="false">'RAW DATA Q2 - 1'!CQ2</f>
        <v>4</v>
      </c>
    </row>
    <row r="27" customFormat="false" ht="39.55" hidden="false" customHeight="false" outlineLevel="0" collapsed="false">
      <c r="A27" s="45" t="n">
        <v>21</v>
      </c>
      <c r="B27" s="45" t="s">
        <v>195</v>
      </c>
      <c r="C27" s="46" t="str">
        <f aca="false">'RAW DATA Q2 - 1'!CR$1</f>
        <v>How would you rate the supplier's services in providing 3Dolphins Solutions as stated in the Functional Specification Document (FSD) and Technical Specification Document (TSD)?</v>
      </c>
      <c r="D27" s="47" t="n">
        <f aca="false">'RAW DATA Q2 - 1'!CR2</f>
        <v>4</v>
      </c>
    </row>
    <row r="28" customFormat="false" ht="26.85" hidden="false" customHeight="false" outlineLevel="0" collapsed="false">
      <c r="A28" s="45" t="n">
        <v>22</v>
      </c>
      <c r="B28" s="45" t="s">
        <v>195</v>
      </c>
      <c r="C28" s="46" t="str">
        <f aca="false">'RAW DATA Q2 - 1'!CS$1</f>
        <v>How would you rate the supplier's services in conducting System Integration Test (SIT) with AXA IT testing team and IT Project Team?</v>
      </c>
      <c r="D28" s="47" t="n">
        <f aca="false">'RAW DATA Q2 - 1'!CS2</f>
        <v>4</v>
      </c>
    </row>
    <row r="29" customFormat="false" ht="26.85" hidden="false" customHeight="false" outlineLevel="0" collapsed="false">
      <c r="A29" s="45" t="n">
        <v>23</v>
      </c>
      <c r="B29" s="45" t="s">
        <v>195</v>
      </c>
      <c r="C29" s="46" t="str">
        <f aca="false">'RAW DATA Q2 - 1'!CT$1</f>
        <v>How would you rate the supplier's services in conducting User Acceptance Test (UAT) with AXA Business Team and Project IT Team?</v>
      </c>
      <c r="D29" s="47" t="n">
        <f aca="false">'RAW DATA Q2 - 1'!CT2</f>
        <v>4</v>
      </c>
    </row>
    <row r="30" customFormat="false" ht="26.85" hidden="false" customHeight="false" outlineLevel="0" collapsed="false">
      <c r="A30" s="45" t="n">
        <v>24</v>
      </c>
      <c r="B30" s="45" t="s">
        <v>195</v>
      </c>
      <c r="C30" s="46" t="str">
        <f aca="false">'RAW DATA Q2 - 1'!CU$1</f>
        <v>How would you rate the supplier's services in migrating to production server or Go Live and providing support after Go Live?</v>
      </c>
      <c r="D30" s="47" t="n">
        <f aca="false">'RAW DATA Q2 - 1'!CU2</f>
        <v>4</v>
      </c>
    </row>
    <row r="31" customFormat="false" ht="39.55" hidden="false" customHeight="false" outlineLevel="0" collapsed="false">
      <c r="A31" s="45" t="n">
        <v>25</v>
      </c>
      <c r="B31" s="45" t="s">
        <v>195</v>
      </c>
      <c r="C31" s="46" t="str">
        <f aca="false">'RAW DATA Q2 - 1'!CV$1</f>
        <v>How would you rate the supplier's services in providing the human resources needed in the project and timeline according to the agreed scope?</v>
      </c>
      <c r="D31" s="47" t="n">
        <f aca="false">'RAW DATA Q2 - 1'!CV2</f>
        <v>4</v>
      </c>
    </row>
    <row r="32" customFormat="false" ht="26.85" hidden="false" customHeight="false" outlineLevel="0" collapsed="false">
      <c r="A32" s="45" t="n">
        <v>26</v>
      </c>
      <c r="B32" s="45" t="s">
        <v>195</v>
      </c>
      <c r="C32" s="46" t="str">
        <f aca="false">'RAW DATA Q2 - 1'!CW$1</f>
        <v>How would you rate the supplier's services in assigning a Project Manager to coordinate with the AXA team?</v>
      </c>
      <c r="D32" s="47" t="n">
        <f aca="false">'RAW DATA Q2 - 1'!CW2</f>
        <v>4</v>
      </c>
    </row>
    <row r="33" customFormat="false" ht="15" hidden="false" customHeight="false" outlineLevel="0" collapsed="false">
      <c r="A33" s="45" t="n">
        <v>27</v>
      </c>
      <c r="B33" s="45" t="s">
        <v>195</v>
      </c>
      <c r="C33" s="46" t="str">
        <f aca="false">'RAW DATA Q2 - 1'!CX$1</f>
        <v>How would you rate the supplier's project documentation as follows:</v>
      </c>
      <c r="D33" s="47" t="n">
        <f aca="false">'RAW DATA Q2 - 1'!CX2</f>
        <v>4</v>
      </c>
    </row>
    <row r="34" customFormat="false" ht="39.55" hidden="false" customHeight="false" outlineLevel="0" collapsed="false">
      <c r="A34" s="45" t="n">
        <v>28</v>
      </c>
      <c r="B34" s="45" t="s">
        <v>195</v>
      </c>
      <c r="C34" s="46" t="str">
        <f aca="false">'RAW DATA Q2 - 1'!CY$1</f>
        <v>How would you rate the supplier support in providing the perform maintenance on all software related to 3Dolphins, which is installed in the AXA data center?</v>
      </c>
      <c r="D34" s="47" t="n">
        <f aca="false">'RAW DATA Q2 - 1'!CY2</f>
        <v>4</v>
      </c>
    </row>
    <row r="35" customFormat="false" ht="39.55" hidden="false" customHeight="false" outlineLevel="0" collapsed="false">
      <c r="A35" s="45" t="n">
        <v>29</v>
      </c>
      <c r="B35" s="45" t="s">
        <v>195</v>
      </c>
      <c r="C35" s="46" t="str">
        <f aca="false">'RAW DATA Q2 - 1'!CZ$1</f>
        <v>How would you rate the supplier support in providing 3Dolphins application maintenance service time, namely 24 hours x 7 days a week, 365 days/year?</v>
      </c>
      <c r="D35" s="47" t="n">
        <f aca="false">'RAW DATA Q2 - 1'!CZ2</f>
        <v>4</v>
      </c>
    </row>
    <row r="36" customFormat="false" ht="39.55" hidden="false" customHeight="false" outlineLevel="0" collapsed="false">
      <c r="A36" s="45" t="n">
        <v>30</v>
      </c>
      <c r="B36" s="45" t="s">
        <v>195</v>
      </c>
      <c r="C36" s="46" t="str">
        <f aca="false">'RAW DATA Q2 - 1'!DA$1</f>
        <v>How would you rate the supplier support in preparing at least 2 people who understand and are experts in chatbots owned by AXA and can also provide support for services that often occur (eg. New custo</v>
      </c>
      <c r="D36" s="47" t="n">
        <f aca="false">'RAW DATA Q2 - 1'!DA2</f>
        <v>4</v>
      </c>
    </row>
    <row r="37" customFormat="false" ht="39.55" hidden="false" customHeight="false" outlineLevel="0" collapsed="false">
      <c r="A37" s="45" t="n">
        <v>31</v>
      </c>
      <c r="B37" s="45" t="s">
        <v>195</v>
      </c>
      <c r="C37" s="46" t="str">
        <f aca="false">'RAW DATA Q2 - 1'!DB$1</f>
        <v>How would you rate the supplier support in providing support center that can be visited during AXA business hours to respond to any questions and issues that arise?</v>
      </c>
      <c r="D37" s="47" t="n">
        <f aca="false">'RAW DATA Q2 - 1'!DB2</f>
        <v>4</v>
      </c>
    </row>
    <row r="38" customFormat="false" ht="26.85" hidden="false" customHeight="false" outlineLevel="0" collapsed="false">
      <c r="A38" s="45" t="n">
        <v>32</v>
      </c>
      <c r="B38" s="45" t="s">
        <v>195</v>
      </c>
      <c r="C38" s="46" t="str">
        <f aca="false">'RAW DATA Q2 - 1'!DC$1</f>
        <v>How would you rate the supplier support in providing SLA reports to AXA?</v>
      </c>
      <c r="D38" s="47" t="n">
        <f aca="false">'RAW DATA Q2 - 1'!DC2</f>
        <v>4</v>
      </c>
    </row>
    <row r="39" customFormat="false" ht="39.55" hidden="false" customHeight="false" outlineLevel="0" collapsed="false">
      <c r="A39" s="45" t="n">
        <v>33</v>
      </c>
      <c r="B39" s="45" t="s">
        <v>195</v>
      </c>
      <c r="C39" s="46" t="str">
        <f aca="false">'RAW DATA Q2 - 1'!DD$1</f>
        <v>How would you rate the supplier support in providing testing and updates the Chatbot Solution if there is a new software version/release/patch according to the required conditions?</v>
      </c>
      <c r="D39" s="47" t="n">
        <f aca="false">'RAW DATA Q2 - 1'!DD2</f>
        <v>4</v>
      </c>
    </row>
    <row r="40" customFormat="false" ht="39.55" hidden="false" customHeight="false" outlineLevel="0" collapsed="false">
      <c r="A40" s="45" t="n">
        <v>34</v>
      </c>
      <c r="B40" s="45" t="s">
        <v>195</v>
      </c>
      <c r="C40" s="46" t="str">
        <f aca="false">'RAW DATA Q2 - 1'!DE$1</f>
        <v>How would you rate the supplier support in reinstall the 3Dolphins application a maximum of 1 time per year if AXA will upgrade the hardware?</v>
      </c>
      <c r="D40" s="47" t="n">
        <f aca="false">'RAW DATA Q2 - 1'!DE2</f>
        <v>4</v>
      </c>
    </row>
    <row r="41" customFormat="false" ht="26.85" hidden="false" customHeight="false" outlineLevel="0" collapsed="false">
      <c r="A41" s="45" t="n">
        <v>35</v>
      </c>
      <c r="B41" s="45" t="s">
        <v>195</v>
      </c>
      <c r="C41" s="46" t="str">
        <f aca="false">'RAW DATA Q2 - 1'!DF$1</f>
        <v>How would you rate the supplier support in providing a checklist to monitor daily activities?</v>
      </c>
      <c r="D41" s="47" t="n">
        <f aca="false">'RAW DATA Q2 - 1'!DF2</f>
        <v>4</v>
      </c>
    </row>
    <row r="42" customFormat="false" ht="26.85" hidden="false" customHeight="false" outlineLevel="0" collapsed="false">
      <c r="A42" s="45" t="n">
        <v>36</v>
      </c>
      <c r="B42" s="45" t="s">
        <v>195</v>
      </c>
      <c r="C42" s="46" t="str">
        <f aca="false">'RAW DATA Q2 - 1'!DG$1</f>
        <v>How would you rate the supplier support in providing a testing configuration and event logging?</v>
      </c>
      <c r="D42" s="47" t="n">
        <f aca="false">'RAW DATA Q2 - 1'!DG2</f>
        <v>4</v>
      </c>
    </row>
    <row r="43" customFormat="false" ht="26.85" hidden="false" customHeight="false" outlineLevel="0" collapsed="false">
      <c r="A43" s="45" t="n">
        <v>37</v>
      </c>
      <c r="B43" s="45" t="s">
        <v>195</v>
      </c>
      <c r="C43" s="46" t="str">
        <f aca="false">'RAW DATA Q2 - 1'!DH$1</f>
        <v>How would you rate the supplier support in providing a backup for short and long term?</v>
      </c>
      <c r="D43" s="47" t="n">
        <f aca="false">'RAW DATA Q2 - 1'!DH2</f>
        <v>4</v>
      </c>
    </row>
    <row r="44" customFormat="false" ht="26.85" hidden="false" customHeight="false" outlineLevel="0" collapsed="false">
      <c r="A44" s="48" t="n">
        <v>38</v>
      </c>
      <c r="B44" s="48" t="s">
        <v>196</v>
      </c>
      <c r="C44" s="49" t="str">
        <f aca="false">'RAW DATA Q2 - 1'!EU$1</f>
        <v>How would you rate the supplier's timeliness in delivering goods/services compared to the agreed-upon timeline?</v>
      </c>
      <c r="D44" s="50" t="n">
        <f aca="false">'RAW DATA Q2 - 1'!EU2</f>
        <v>4</v>
      </c>
    </row>
    <row r="45" customFormat="false" ht="15" hidden="false" customHeight="false" outlineLevel="0" collapsed="false">
      <c r="A45" s="48" t="n">
        <v>39</v>
      </c>
      <c r="B45" s="48" t="s">
        <v>196</v>
      </c>
      <c r="C45" s="49" t="str">
        <f aca="false">'RAW DATA Q2 - 1'!EV$1</f>
        <v>How would you rate the supplier's timeliness in sending reports to you?</v>
      </c>
      <c r="D45" s="50" t="n">
        <f aca="false">'RAW DATA Q2 - 1'!EV2</f>
        <v>4</v>
      </c>
    </row>
    <row r="46" customFormat="false" ht="26.85" hidden="false" customHeight="false" outlineLevel="0" collapsed="false">
      <c r="A46" s="48" t="n">
        <v>40</v>
      </c>
      <c r="B46" s="48" t="s">
        <v>196</v>
      </c>
      <c r="C46" s="49" t="str">
        <f aca="false">'RAW DATA Q2 - 1'!EW$1</f>
        <v>How would you rate the supplier's speed ​​of administrative completion, including completion of contracts draft?</v>
      </c>
      <c r="D46" s="50" t="n">
        <f aca="false">'RAW DATA Q2 - 1'!EW2</f>
        <v>4</v>
      </c>
    </row>
    <row r="47" customFormat="false" ht="15" hidden="false" customHeight="false" outlineLevel="0" collapsed="false">
      <c r="A47" s="51" t="n">
        <v>41</v>
      </c>
      <c r="B47" s="51" t="s">
        <v>197</v>
      </c>
      <c r="C47" s="52" t="str">
        <f aca="false">'RAW DATA Q2 - 1'!FM$1</f>
        <v>How would you rate the supplier's communication with you?</v>
      </c>
      <c r="D47" s="53" t="n">
        <f aca="false">'RAW DATA Q2 - 1'!FM2</f>
        <v>4</v>
      </c>
    </row>
    <row r="48" customFormat="false" ht="26.85" hidden="false" customHeight="false" outlineLevel="0" collapsed="false">
      <c r="A48" s="51" t="n">
        <v>42</v>
      </c>
      <c r="B48" s="51" t="s">
        <v>197</v>
      </c>
      <c r="C48" s="52" t="str">
        <f aca="false">'RAW DATA Q2 - 1'!FN$1</f>
        <v>How would you rate the supplier's PIC's availability to be contacted when needed?</v>
      </c>
      <c r="D48" s="53" t="n">
        <f aca="false">'RAW DATA Q2 - 1'!FN2</f>
        <v>4</v>
      </c>
    </row>
    <row r="49" customFormat="false" ht="39.55" hidden="false" customHeight="false" outlineLevel="0" collapsed="false">
      <c r="A49" s="51" t="n">
        <v>43</v>
      </c>
      <c r="B49" s="51" t="s">
        <v>197</v>
      </c>
      <c r="C49" s="52" t="str">
        <f aca="false">'RAW DATA Q2 - 1'!FO$1</f>
        <v>How would you rate the supplier's response speed to you when there are issues?
</v>
      </c>
      <c r="D49" s="53" t="n">
        <f aca="false">'RAW DATA Q2 - 1'!FO2</f>
        <v>4</v>
      </c>
    </row>
    <row r="51" customFormat="false" ht="15" hidden="false" customHeight="false" outlineLevel="0" collapsed="false">
      <c r="A51" s="42" t="s">
        <v>198</v>
      </c>
      <c r="B51" s="54" t="n">
        <f aca="false">AVERAGEIF(B7:B49,"Quality",D7:D49)</f>
        <v>4</v>
      </c>
    </row>
    <row r="52" customFormat="false" ht="15" hidden="false" customHeight="false" outlineLevel="0" collapsed="false">
      <c r="A52" s="42" t="s">
        <v>199</v>
      </c>
      <c r="B52" s="54" t="n">
        <f aca="false">AVERAGEIF(B7:B49,"Timeline",D7:D49)</f>
        <v>4</v>
      </c>
    </row>
    <row r="53" customFormat="false" ht="15" hidden="false" customHeight="false" outlineLevel="0" collapsed="false">
      <c r="A53" s="42" t="s">
        <v>200</v>
      </c>
      <c r="B53" s="54" t="n">
        <f aca="false">AVERAGEIF(B7:B49,"Relationship",D7:D49)</f>
        <v>4</v>
      </c>
    </row>
    <row r="54" customFormat="false" ht="15" hidden="false" customHeight="false" outlineLevel="0" collapsed="false">
      <c r="A54" s="42" t="s">
        <v>201</v>
      </c>
      <c r="B54" s="55" t="n">
        <f aca="false">B51*0.35+B52*0.35+B53*0.3</f>
        <v>4</v>
      </c>
    </row>
    <row r="55" customFormat="false" ht="15" hidden="false" customHeight="false" outlineLevel="0" collapsed="false">
      <c r="A55" s="42" t="s">
        <v>202</v>
      </c>
      <c r="B55" s="42" t="str">
        <f aca="false">IF(B54&gt;4.99,"Exceptional",IF(B54&gt;3.99,"Exceed Expectation",IF(B54&gt;=2.99,"Meet Expectation",IF(B54&gt;1.9,"Below Expectation","Unsatisfactory"))))</f>
        <v>Exceed Expectation</v>
      </c>
    </row>
    <row r="57" customFormat="false" ht="15" hidden="false" customHeight="false" outlineLevel="0" collapsed="false">
      <c r="A57" s="56" t="s">
        <v>203</v>
      </c>
    </row>
    <row r="58" customFormat="false" ht="15" hidden="false" customHeight="false" outlineLevel="0" collapsed="false">
      <c r="A58" s="38" t="s">
        <v>204</v>
      </c>
      <c r="B58" s="57" t="str">
        <f aca="false">'RAW DATA Q2 - 1'!FP2</f>
        <v>Yes</v>
      </c>
    </row>
    <row r="59" customFormat="false" ht="15" hidden="false" customHeight="false" outlineLevel="0" collapsed="false">
      <c r="A59" s="38" t="s">
        <v>205</v>
      </c>
      <c r="B59" s="57" t="str">
        <f aca="false">'RAW DATA Q2 - 1'!FQ2</f>
        <v>Yes</v>
      </c>
    </row>
    <row r="60" customFormat="false" ht="41.75" hidden="false" customHeight="false" outlineLevel="0" collapsed="false">
      <c r="A60" s="38" t="s">
        <v>206</v>
      </c>
      <c r="B60" s="57" t="str">
        <f aca="false">'RAW DATA Q2 - 1'!FR2</f>
        <v>Yes, DPIA completed and there are actions to be done by Project Owner</v>
      </c>
    </row>
    <row r="61" customFormat="false" ht="15" hidden="false" customHeight="false" outlineLevel="0" collapsed="false">
      <c r="A61" s="38" t="s">
        <v>207</v>
      </c>
      <c r="B61" s="57" t="str">
        <f aca="false">'RAW DATA Q2 - 1'!FS2</f>
        <v>DPSQ not completed yet</v>
      </c>
    </row>
    <row r="62" customFormat="false" ht="41.75" hidden="false" customHeight="false" outlineLevel="0" collapsed="false">
      <c r="A62" s="38" t="s">
        <v>208</v>
      </c>
      <c r="B62" s="57" t="str">
        <f aca="false">'RAW DATA Q2 - 1'!FT2</f>
        <v>Yes, VSDDT completed and there are actions to be done by supplier</v>
      </c>
    </row>
    <row r="63" customFormat="false" ht="15" hidden="false" customHeight="false" outlineLevel="0" collapsed="false">
      <c r="A63" s="38" t="s">
        <v>209</v>
      </c>
    </row>
    <row r="65" customFormat="false" ht="15" hidden="false" customHeight="false" outlineLevel="0" collapsed="false">
      <c r="A65" s="56" t="s">
        <v>74</v>
      </c>
    </row>
    <row r="66" customFormat="false" ht="15" hidden="false" customHeight="false" outlineLevel="0" collapsed="false">
      <c r="B66" s="58" t="str">
        <f aca="false">'RAW DATA Q2 - 1'!FU2</f>
        <v>Tetap up to date dan helpful</v>
      </c>
      <c r="C66" s="58"/>
      <c r="D66" s="58"/>
    </row>
  </sheetData>
  <mergeCells count="2">
    <mergeCell ref="A1:D1"/>
    <mergeCell ref="B66: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126</v>
      </c>
    </row>
    <row r="3" customFormat="false" ht="15" hidden="false" customHeight="false" outlineLevel="0" collapsed="false">
      <c r="A3" s="42" t="s">
        <v>56</v>
      </c>
      <c r="B3" s="38" t="s">
        <v>162</v>
      </c>
    </row>
    <row r="4" customFormat="false" ht="15" hidden="false" customHeight="false" outlineLevel="0" collapsed="false">
      <c r="A4" s="42" t="s">
        <v>191</v>
      </c>
      <c r="B4" s="38" t="s">
        <v>163</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Q2 - 1'!AL$1</f>
        <v>How would you rate Supplier's ability to understand and meet your needs?2</v>
      </c>
      <c r="D7" s="47" t="n">
        <f aca="false">'RAW DATA Q2 - 1'!AL14</f>
        <v>4</v>
      </c>
    </row>
    <row r="8" customFormat="false" ht="26.85" hidden="false" customHeight="false" outlineLevel="0" collapsed="false">
      <c r="A8" s="45" t="n">
        <v>2</v>
      </c>
      <c r="B8" s="45" t="s">
        <v>195</v>
      </c>
      <c r="C8" s="46" t="str">
        <f aca="false">'RAW DATA Q2 - 1'!AM$1</f>
        <v>How would you rate the The goods/services provided by the Supplier against the agreed standards?</v>
      </c>
      <c r="D8" s="47" t="n">
        <f aca="false">'RAW DATA Q2 - 1'!AM14</f>
        <v>5</v>
      </c>
    </row>
    <row r="9" customFormat="false" ht="15" hidden="false" customHeight="false" outlineLevel="0" collapsed="false">
      <c r="A9" s="45" t="n">
        <v>3</v>
      </c>
      <c r="B9" s="45" t="s">
        <v>195</v>
      </c>
      <c r="C9" s="46" t="str">
        <f aca="false">'RAW DATA Q2 - 1'!AN$1</f>
        <v>How would you rate the General support and maintenance requirement?</v>
      </c>
      <c r="D9" s="47" t="n">
        <f aca="false">'RAW DATA Q2 - 1'!AN14</f>
        <v>5</v>
      </c>
    </row>
    <row r="10" customFormat="false" ht="39.55" hidden="false" customHeight="false" outlineLevel="0" collapsed="false">
      <c r="A10" s="45" t="n">
        <v>4</v>
      </c>
      <c r="B10" s="45" t="s">
        <v>195</v>
      </c>
      <c r="C10" s="46" t="str">
        <f aca="false">'RAW DATA Q2 - 1'!AO$1</f>
        <v>How would you rate the Performance Management Requirement which includes to support low latency, documentation, performance monitoring, and any major or minor updates?</v>
      </c>
      <c r="D10" s="47" t="n">
        <f aca="false">'RAW DATA Q2 - 1'!AO14</f>
        <v>5</v>
      </c>
    </row>
    <row r="11" customFormat="false" ht="15" hidden="false" customHeight="false" outlineLevel="0" collapsed="false">
      <c r="A11" s="45" t="n">
        <v>5</v>
      </c>
      <c r="B11" s="45" t="s">
        <v>195</v>
      </c>
      <c r="C11" s="46" t="str">
        <f aca="false">'RAW DATA Q2 - 1'!AP$1</f>
        <v>How would you rate the Security Management Requirement?</v>
      </c>
      <c r="D11" s="47" t="n">
        <f aca="false">'RAW DATA Q2 - 1'!AP14</f>
        <v>5</v>
      </c>
    </row>
    <row r="12" customFormat="false" ht="26.85" hidden="false" customHeight="false" outlineLevel="0" collapsed="false">
      <c r="A12" s="45" t="n">
        <v>6</v>
      </c>
      <c r="B12" s="45" t="s">
        <v>195</v>
      </c>
      <c r="C12" s="46" t="str">
        <f aca="false">'RAW DATA Q2 - 1'!AQ$1</f>
        <v>How would you rate the Supporting Model which includes onsite support from dedicated engineers and its service level agreement (SLA)?</v>
      </c>
      <c r="D12" s="47" t="n">
        <f aca="false">'RAW DATA Q2 - 1'!AQ14</f>
        <v>4</v>
      </c>
    </row>
    <row r="13" customFormat="false" ht="15" hidden="false" customHeight="false" outlineLevel="0" collapsed="false">
      <c r="A13" s="45" t="n">
        <v>7</v>
      </c>
      <c r="B13" s="45" t="s">
        <v>195</v>
      </c>
      <c r="C13" s="46" t="str">
        <f aca="false">'RAW DATA Q2 - 1'!AR$1</f>
        <v>How would you rate the accuracy of the data in the Supplier's reports?1</v>
      </c>
      <c r="D13" s="47" t="n">
        <f aca="false">'RAW DATA Q2 - 1'!AR14</f>
        <v>5</v>
      </c>
    </row>
    <row r="14" customFormat="false" ht="26.85" hidden="false" customHeight="false" outlineLevel="0" collapsed="false">
      <c r="A14" s="45" t="n">
        <v>8</v>
      </c>
      <c r="B14" s="45" t="s">
        <v>195</v>
      </c>
      <c r="C14" s="46" t="str">
        <f aca="false">'RAW DATA Q2 - 1'!AS$1</f>
        <v>How would you rate overall quality of the work reports provided by the Supplier?1</v>
      </c>
      <c r="D14" s="47" t="n">
        <f aca="false">'RAW DATA Q2 - 1'!AS14</f>
        <v>4</v>
      </c>
    </row>
    <row r="15" customFormat="false" ht="15" hidden="false" customHeight="false" outlineLevel="0" collapsed="false">
      <c r="A15" s="45" t="n">
        <v>9</v>
      </c>
      <c r="B15" s="45" t="s">
        <v>195</v>
      </c>
      <c r="C15" s="46" t="str">
        <f aca="false">'RAW DATA Q2 - 1'!AT$1</f>
        <v>How would you rate the solutions provided when there is trouble?1</v>
      </c>
      <c r="D15" s="47" t="n">
        <f aca="false">'RAW DATA Q2 - 1'!AT14</f>
        <v>5</v>
      </c>
    </row>
    <row r="16" customFormat="false" ht="15" hidden="false" customHeight="false" outlineLevel="0" collapsed="false">
      <c r="A16" s="45" t="n">
        <v>10</v>
      </c>
      <c r="B16" s="45" t="s">
        <v>195</v>
      </c>
      <c r="C16" s="46" t="str">
        <f aca="false">'RAW DATA Q2 - 1'!AU$1</f>
        <v>How would you rate the resolution to the problem that occurred?1</v>
      </c>
      <c r="D16" s="47" t="n">
        <f aca="false">'RAW DATA Q2 - 1'!AU14</f>
        <v>4</v>
      </c>
    </row>
    <row r="17" customFormat="false" ht="26.85" hidden="false" customHeight="false" outlineLevel="0" collapsed="false">
      <c r="A17" s="45" t="n">
        <v>11</v>
      </c>
      <c r="B17" s="45" t="s">
        <v>195</v>
      </c>
      <c r="C17" s="46" t="str">
        <f aca="false">'RAW DATA Q2 - 1'!AV$1</f>
        <v>How would you rate the speed of resolution given to problems that occur?1</v>
      </c>
      <c r="D17" s="47" t="n">
        <f aca="false">'RAW DATA Q2 - 1'!AV14</f>
        <v>5</v>
      </c>
    </row>
    <row r="18" customFormat="false" ht="26.85" hidden="false" customHeight="false" outlineLevel="0" collapsed="false">
      <c r="A18" s="45" t="n">
        <v>12</v>
      </c>
      <c r="B18" s="45" t="s">
        <v>195</v>
      </c>
      <c r="C18" s="46" t="str">
        <f aca="false">'RAW DATA Q2 - 1'!AW$1</f>
        <v>How would you rate the supplier initiative to take mitigation/preventive action to prevent the problem from recurring?1</v>
      </c>
      <c r="D18" s="47" t="n">
        <f aca="false">'RAW DATA Q2 - 1'!AW14</f>
        <v>4</v>
      </c>
    </row>
    <row r="19" customFormat="false" ht="26.85" hidden="false" customHeight="false" outlineLevel="0" collapsed="false">
      <c r="A19" s="45" t="n">
        <v>13</v>
      </c>
      <c r="B19" s="45" t="s">
        <v>195</v>
      </c>
      <c r="C19" s="46" t="str">
        <f aca="false">'RAW DATA Q2 - 1'!AX$1</f>
        <v>How would you rate supplier compliance with administrative processes, including completion of draft cooperation contract?2</v>
      </c>
      <c r="D19" s="47" t="n">
        <f aca="false">'RAW DATA Q2 - 1'!AX14</f>
        <v>5</v>
      </c>
    </row>
    <row r="20" customFormat="false" ht="26.85" hidden="false" customHeight="false" outlineLevel="0" collapsed="false">
      <c r="A20" s="48" t="n">
        <v>14</v>
      </c>
      <c r="B20" s="48" t="s">
        <v>196</v>
      </c>
      <c r="C20" s="49" t="str">
        <f aca="false">'RAW DATA Q2 - 1'!EU$1</f>
        <v>How would you rate the supplier's timeliness in delivering goods/services compared to the agreed-upon timeline?</v>
      </c>
      <c r="D20" s="50" t="n">
        <f aca="false">'RAW DATA Q2 - 1'!EU14</f>
        <v>4</v>
      </c>
    </row>
    <row r="21" customFormat="false" ht="15" hidden="false" customHeight="false" outlineLevel="0" collapsed="false">
      <c r="A21" s="48" t="n">
        <v>15</v>
      </c>
      <c r="B21" s="48" t="s">
        <v>196</v>
      </c>
      <c r="C21" s="49" t="str">
        <f aca="false">'RAW DATA Q2 - 1'!EV$1</f>
        <v>How would you rate the supplier's timeliness in sending reports to you?</v>
      </c>
      <c r="D21" s="50" t="n">
        <f aca="false">'RAW DATA Q2 - 1'!EV14</f>
        <v>5</v>
      </c>
    </row>
    <row r="22" customFormat="false" ht="26.85" hidden="false" customHeight="false" outlineLevel="0" collapsed="false">
      <c r="A22" s="48" t="n">
        <v>16</v>
      </c>
      <c r="B22" s="48" t="s">
        <v>196</v>
      </c>
      <c r="C22" s="49" t="str">
        <f aca="false">'RAW DATA Q2 - 1'!EW$1</f>
        <v>How would you rate the supplier's speed ​​of administrative completion, including completion of contracts draft?</v>
      </c>
      <c r="D22" s="50" t="n">
        <f aca="false">'RAW DATA Q2 - 1'!EW14</f>
        <v>5</v>
      </c>
    </row>
    <row r="23" customFormat="false" ht="15" hidden="false" customHeight="false" outlineLevel="0" collapsed="false">
      <c r="A23" s="51" t="n">
        <v>17</v>
      </c>
      <c r="B23" s="51" t="s">
        <v>197</v>
      </c>
      <c r="C23" s="52" t="str">
        <f aca="false">'RAW DATA Q2 - 1'!FM$1</f>
        <v>How would you rate the supplier's communication with you?</v>
      </c>
      <c r="D23" s="53" t="n">
        <f aca="false">'RAW DATA Q2 - 1'!FM14</f>
        <v>5</v>
      </c>
    </row>
    <row r="24" customFormat="false" ht="26.85" hidden="false" customHeight="false" outlineLevel="0" collapsed="false">
      <c r="A24" s="51" t="n">
        <v>18</v>
      </c>
      <c r="B24" s="51" t="s">
        <v>197</v>
      </c>
      <c r="C24" s="52" t="str">
        <f aca="false">'RAW DATA Q2 - 1'!FN$1</f>
        <v>How would you rate the supplier's PIC's availability to be contacted when needed?</v>
      </c>
      <c r="D24" s="53" t="n">
        <f aca="false">'RAW DATA Q2 - 1'!FN14</f>
        <v>5</v>
      </c>
    </row>
    <row r="25" customFormat="false" ht="39.55" hidden="false" customHeight="false" outlineLevel="0" collapsed="false">
      <c r="A25" s="51" t="n">
        <v>19</v>
      </c>
      <c r="B25" s="51" t="s">
        <v>197</v>
      </c>
      <c r="C25" s="52" t="str">
        <f aca="false">'RAW DATA Q2 - 1'!FO$1</f>
        <v>How would you rate the supplier's response speed to you when there are issues?
</v>
      </c>
      <c r="D25" s="53" t="n">
        <f aca="false">'RAW DATA Q2 - 1'!FO14</f>
        <v>5</v>
      </c>
    </row>
    <row r="27" customFormat="false" ht="15" hidden="false" customHeight="false" outlineLevel="0" collapsed="false">
      <c r="A27" s="42" t="s">
        <v>198</v>
      </c>
      <c r="B27" s="54" t="n">
        <f aca="false">AVERAGEIF(B7:B25,"Quality",D7:D25)</f>
        <v>4.61538461538462</v>
      </c>
    </row>
    <row r="28" customFormat="false" ht="15" hidden="false" customHeight="false" outlineLevel="0" collapsed="false">
      <c r="A28" s="42" t="s">
        <v>199</v>
      </c>
      <c r="B28" s="54" t="n">
        <f aca="false">AVERAGEIF(B7:B25,"Timeline",D7:D25)</f>
        <v>4.66666666666667</v>
      </c>
    </row>
    <row r="29" customFormat="false" ht="15" hidden="false" customHeight="false" outlineLevel="0" collapsed="false">
      <c r="A29" s="42" t="s">
        <v>200</v>
      </c>
      <c r="B29" s="54" t="n">
        <f aca="false">AVERAGEIF(B7:B25,"Relationship",D7:D25)</f>
        <v>5</v>
      </c>
    </row>
    <row r="30" customFormat="false" ht="15" hidden="false" customHeight="false" outlineLevel="0" collapsed="false">
      <c r="A30" s="42" t="s">
        <v>201</v>
      </c>
      <c r="B30" s="55" t="n">
        <f aca="false">B27*0.35+B28*0.35+B29*0.3</f>
        <v>4.74871794871795</v>
      </c>
    </row>
    <row r="31" customFormat="false" ht="15" hidden="false" customHeight="false" outlineLevel="0" collapsed="false">
      <c r="A31" s="42" t="s">
        <v>202</v>
      </c>
      <c r="B31" s="42" t="str">
        <f aca="false">IF(B30&gt;4.99,"Exceptional",IF(B30&gt;3.99,"Exceed Expectation",IF(B30&gt;=2.99,"Meet Expectation",IF(B30&gt;1.9,"Below Expectation","Unsatisfactory"))))</f>
        <v>Exceed Expectation</v>
      </c>
    </row>
    <row r="33" customFormat="false" ht="15" hidden="false" customHeight="false" outlineLevel="0" collapsed="false">
      <c r="A33" s="56" t="s">
        <v>203</v>
      </c>
    </row>
    <row r="34" customFormat="false" ht="15" hidden="false" customHeight="false" outlineLevel="0" collapsed="false">
      <c r="A34" s="38" t="s">
        <v>204</v>
      </c>
      <c r="B34" s="57" t="str">
        <f aca="false">'RAW DATA Q2 - 1'!FP14</f>
        <v>Yes</v>
      </c>
    </row>
    <row r="35" customFormat="false" ht="15" hidden="false" customHeight="false" outlineLevel="0" collapsed="false">
      <c r="A35" s="38" t="s">
        <v>205</v>
      </c>
      <c r="B35" s="57" t="str">
        <f aca="false">'RAW DATA Q2 - 1'!FQ14</f>
        <v>Yes</v>
      </c>
    </row>
    <row r="36" customFormat="false" ht="41.75" hidden="false" customHeight="false" outlineLevel="0" collapsed="false">
      <c r="A36" s="38" t="s">
        <v>206</v>
      </c>
      <c r="B36" s="57" t="str">
        <f aca="false">'RAW DATA Q2 - 1'!FR14</f>
        <v>Yes, DPIA completed and there are actions to be done by Project Owner</v>
      </c>
    </row>
    <row r="37" customFormat="false" ht="15" hidden="false" customHeight="false" outlineLevel="0" collapsed="false">
      <c r="A37" s="38" t="s">
        <v>207</v>
      </c>
      <c r="B37" s="57" t="str">
        <f aca="false">'RAW DATA Q2 - 1'!FS14</f>
        <v>No Implementation</v>
      </c>
    </row>
    <row r="38" customFormat="false" ht="41.75" hidden="false" customHeight="false" outlineLevel="0" collapsed="false">
      <c r="A38" s="38" t="s">
        <v>208</v>
      </c>
      <c r="B38" s="57" t="str">
        <f aca="false">'RAW DATA Q2 - 1'!FT14</f>
        <v>Yes, VSDDT completed and there are actions to be done by supplier</v>
      </c>
    </row>
    <row r="39" customFormat="false" ht="15" hidden="false" customHeight="false" outlineLevel="0" collapsed="false">
      <c r="A39" s="38" t="s">
        <v>209</v>
      </c>
    </row>
    <row r="41" customFormat="false" ht="15" hidden="false" customHeight="false" outlineLevel="0" collapsed="false">
      <c r="A41" s="56" t="s">
        <v>74</v>
      </c>
    </row>
    <row r="42" customFormat="false" ht="55.2" hidden="false" customHeight="false" outlineLevel="0" collapsed="false">
      <c r="B42" s="58" t="str">
        <f aca="false">'RAW DATA Q2 - 1'!FU14</f>
        <v>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v>
      </c>
      <c r="C42" s="58"/>
      <c r="D42" s="58"/>
    </row>
  </sheetData>
  <mergeCells count="2">
    <mergeCell ref="A1:D1"/>
    <mergeCell ref="B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164</v>
      </c>
    </row>
    <row r="3" customFormat="false" ht="15" hidden="false" customHeight="false" outlineLevel="0" collapsed="false">
      <c r="A3" s="42" t="s">
        <v>56</v>
      </c>
      <c r="B3" s="38" t="s">
        <v>165</v>
      </c>
    </row>
    <row r="4" customFormat="false" ht="15" hidden="false" customHeight="false" outlineLevel="0" collapsed="false">
      <c r="A4" s="42" t="s">
        <v>191</v>
      </c>
      <c r="B4" s="38" t="s">
        <v>166</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Q2 - 2'!AU$1</f>
        <v>How would you rate the goods/services provided by the Supplier against the agreed standards1</v>
      </c>
      <c r="D7" s="47" t="n">
        <f aca="false">'RAW DATA Q2 - 2'!AU10</f>
        <v>4</v>
      </c>
    </row>
    <row r="8" customFormat="false" ht="15" hidden="false" customHeight="false" outlineLevel="0" collapsed="false">
      <c r="A8" s="45" t="n">
        <v>2</v>
      </c>
      <c r="B8" s="45" t="s">
        <v>195</v>
      </c>
      <c r="C8" s="46" t="str">
        <f aca="false">'RAW DATA Q2 - 2'!AV$1</f>
        <v>How would you rate the accuracy of the data in the Supplier's reports?2</v>
      </c>
      <c r="D8" s="47" t="n">
        <f aca="false">'RAW DATA Q2 - 2'!AV10</f>
        <v>3</v>
      </c>
    </row>
    <row r="9" customFormat="false" ht="26.85" hidden="false" customHeight="false" outlineLevel="0" collapsed="false">
      <c r="A9" s="45" t="n">
        <v>3</v>
      </c>
      <c r="B9" s="45" t="s">
        <v>195</v>
      </c>
      <c r="C9" s="46" t="str">
        <f aca="false">'RAW DATA Q2 - 2'!AW$1</f>
        <v>How would you rate the Vendor initiative to take mitigation/preventive action to prevent the problem from recurring?3</v>
      </c>
      <c r="D9" s="47" t="n">
        <f aca="false">'RAW DATA Q2 - 2'!AW10</f>
        <v>4</v>
      </c>
    </row>
    <row r="10" customFormat="false" ht="26.85" hidden="false" customHeight="false" outlineLevel="0" collapsed="false">
      <c r="A10" s="45" t="n">
        <v>4</v>
      </c>
      <c r="B10" s="45" t="s">
        <v>195</v>
      </c>
      <c r="C10" s="46" t="str">
        <f aca="false">'RAW DATA Q2 - 2'!AX$1</f>
        <v>How would you rate supplier compliance with administrative processes, including completion of draft cooperation contract?4</v>
      </c>
      <c r="D10" s="47" t="n">
        <f aca="false">'RAW DATA Q2 - 2'!AX10</f>
        <v>3</v>
      </c>
    </row>
    <row r="11" customFormat="false" ht="26.85" hidden="false" customHeight="false" outlineLevel="0" collapsed="false">
      <c r="A11" s="45" t="n">
        <v>5</v>
      </c>
      <c r="B11" s="45" t="s">
        <v>195</v>
      </c>
      <c r="C11" s="46" t="str">
        <f aca="false">'RAW DATA Q2 - 2'!AY$1</f>
        <v>How would you rate the Installation of SAS IFRS17 solution on AXA infrastructure?</v>
      </c>
      <c r="D11" s="47" t="n">
        <f aca="false">'RAW DATA Q2 - 2'!AY10</f>
        <v>3</v>
      </c>
    </row>
    <row r="12" customFormat="false" ht="39.55" hidden="false" customHeight="false" outlineLevel="0" collapsed="false">
      <c r="A12" s="45" t="n">
        <v>6</v>
      </c>
      <c r="B12" s="45" t="s">
        <v>195</v>
      </c>
      <c r="C12" s="46" t="str">
        <f aca="false">'RAW DATA Q2 - 2'!AZ$1</f>
        <v>How would you rate the workshops and finalize functional specification documents that summarize requirements which conducted by the supplier?</v>
      </c>
      <c r="D12" s="47" t="n">
        <f aca="false">'RAW DATA Q2 - 2'!AZ10</f>
        <v>3</v>
      </c>
    </row>
    <row r="13" customFormat="false" ht="26.85" hidden="false" customHeight="false" outlineLevel="0" collapsed="false">
      <c r="A13" s="45" t="n">
        <v>7</v>
      </c>
      <c r="B13" s="45" t="s">
        <v>195</v>
      </c>
      <c r="C13" s="46" t="str">
        <f aca="false">'RAW DATA Q2 - 2'!BA$1</f>
        <v>How would you rate the implementation of an end-to-end solution flow design for SAS IFRS17?</v>
      </c>
      <c r="D13" s="47" t="n">
        <f aca="false">'RAW DATA Q2 - 2'!BA10</f>
        <v>3</v>
      </c>
    </row>
    <row r="14" customFormat="false" ht="26.85" hidden="false" customHeight="false" outlineLevel="0" collapsed="false">
      <c r="A14" s="45" t="n">
        <v>8</v>
      </c>
      <c r="B14" s="45" t="s">
        <v>195</v>
      </c>
      <c r="C14" s="46" t="str">
        <f aca="false">'RAW DATA Q2 - 2'!BB$1</f>
        <v>How would you rate the Implementation of SAS IFRS17solution?
</v>
      </c>
      <c r="D14" s="47" t="n">
        <f aca="false">'RAW DATA Q2 - 2'!BB10</f>
        <v>3</v>
      </c>
    </row>
    <row r="15" customFormat="false" ht="26.85" hidden="false" customHeight="false" outlineLevel="0" collapsed="false">
      <c r="A15" s="45" t="n">
        <v>9</v>
      </c>
      <c r="B15" s="45" t="s">
        <v>195</v>
      </c>
      <c r="C15" s="46" t="str">
        <f aca="false">'RAW DATA Q2 - 2'!BC$1</f>
        <v>How would you rate the End-to-End Calculation Functions which includes:</v>
      </c>
      <c r="D15" s="47" t="n">
        <f aca="false">'RAW DATA Q2 - 2'!BC10</f>
        <v>3</v>
      </c>
    </row>
    <row r="16" customFormat="false" ht="39.55" hidden="false" customHeight="false" outlineLevel="0" collapsed="false">
      <c r="A16" s="45" t="n">
        <v>10</v>
      </c>
      <c r="B16" s="45" t="s">
        <v>195</v>
      </c>
      <c r="C16" s="46" t="str">
        <f aca="false">'RAW DATA Q2 - 2'!BD$1</f>
        <v>How would you rate the PSAK74 Contract Grouping using Data Input and Predefine Rule which generates:
</v>
      </c>
      <c r="D16" s="47" t="n">
        <f aca="false">'RAW DATA Q2 - 2'!BD10</f>
        <v>3</v>
      </c>
    </row>
    <row r="17" customFormat="false" ht="39.55" hidden="false" customHeight="false" outlineLevel="0" collapsed="false">
      <c r="A17" s="45" t="n">
        <v>11</v>
      </c>
      <c r="B17" s="45" t="s">
        <v>195</v>
      </c>
      <c r="C17" s="46" t="str">
        <f aca="false">'RAW DATA Q2 - 2'!BE$1</f>
        <v>How would you rate PSAK74 System implementation on its standard and configurable rule which includes:
</v>
      </c>
      <c r="D17" s="47" t="n">
        <f aca="false">'RAW DATA Q2 - 2'!BE10</f>
        <v>3</v>
      </c>
    </row>
    <row r="18" customFormat="false" ht="15" hidden="false" customHeight="false" outlineLevel="0" collapsed="false">
      <c r="A18" s="45" t="n">
        <v>12</v>
      </c>
      <c r="B18" s="45" t="s">
        <v>195</v>
      </c>
      <c r="C18" s="46" t="str">
        <f aca="false">'RAW DATA Q2 - 2'!BF$1</f>
        <v>How would you rate the currencies and interest rate facilitation?</v>
      </c>
      <c r="D18" s="47" t="n">
        <f aca="false">'RAW DATA Q2 - 2'!BF10</f>
        <v>3</v>
      </c>
    </row>
    <row r="19" customFormat="false" ht="15" hidden="false" customHeight="false" outlineLevel="0" collapsed="false">
      <c r="A19" s="45" t="n">
        <v>13</v>
      </c>
      <c r="B19" s="45" t="s">
        <v>195</v>
      </c>
      <c r="C19" s="46" t="str">
        <f aca="false">'RAW DATA Q2 - 2'!BG$1</f>
        <v>How would you rate the capability to estimate the Initial Recognition?</v>
      </c>
      <c r="D19" s="47" t="n">
        <f aca="false">'RAW DATA Q2 - 2'!BG10</f>
        <v>3</v>
      </c>
    </row>
    <row r="20" customFormat="false" ht="39.55" hidden="false" customHeight="false" outlineLevel="0" collapsed="false">
      <c r="A20" s="45" t="n">
        <v>14</v>
      </c>
      <c r="B20" s="45" t="s">
        <v>195</v>
      </c>
      <c r="C20" s="46" t="str">
        <f aca="false">'RAW DATA Q2 - 2'!BH$1</f>
        <v>How would you rate the capability to estimate GMM/PAA/VFA Approach both direct and reinsurance:
</v>
      </c>
      <c r="D20" s="47" t="n">
        <f aca="false">'RAW DATA Q2 - 2'!BH10</f>
        <v>3</v>
      </c>
    </row>
    <row r="21" customFormat="false" ht="39.55" hidden="false" customHeight="false" outlineLevel="0" collapsed="false">
      <c r="A21" s="45" t="n">
        <v>15</v>
      </c>
      <c r="B21" s="45" t="s">
        <v>195</v>
      </c>
      <c r="C21" s="46" t="str">
        <f aca="false">'RAW DATA Q2 - 2'!BI$1</f>
        <v>How would you rate the capability to do the Allocation on Actual Cash Flow (CF):
</v>
      </c>
      <c r="D21" s="47" t="n">
        <f aca="false">'RAW DATA Q2 - 2'!BI10</f>
        <v>3</v>
      </c>
    </row>
    <row r="22" customFormat="false" ht="39.55" hidden="false" customHeight="false" outlineLevel="0" collapsed="false">
      <c r="A22" s="45" t="n">
        <v>16</v>
      </c>
      <c r="B22" s="45" t="s">
        <v>195</v>
      </c>
      <c r="C22" s="46" t="str">
        <f aca="false">'RAW DATA Q2 - 2'!BJ$1</f>
        <v>How would you rate the capability to generate PSAK74 Disclosure in monthly base:
</v>
      </c>
      <c r="D22" s="47" t="n">
        <f aca="false">'RAW DATA Q2 - 2'!BJ10</f>
        <v>3</v>
      </c>
    </row>
    <row r="23" customFormat="false" ht="39.55" hidden="false" customHeight="false" outlineLevel="0" collapsed="false">
      <c r="A23" s="45" t="n">
        <v>17</v>
      </c>
      <c r="B23" s="45" t="s">
        <v>195</v>
      </c>
      <c r="C23" s="46" t="str">
        <f aca="false">'RAW DATA Q2 - 2'!BK$1</f>
        <v>How would you rate the System Availability, Redundancy, and Overload Protection?
</v>
      </c>
      <c r="D23" s="47" t="n">
        <f aca="false">'RAW DATA Q2 - 2'!BK10</f>
        <v>3</v>
      </c>
    </row>
    <row r="24" customFormat="false" ht="26.85" hidden="false" customHeight="false" outlineLevel="0" collapsed="false">
      <c r="A24" s="45" t="n">
        <v>18</v>
      </c>
      <c r="B24" s="45" t="s">
        <v>195</v>
      </c>
      <c r="C24" s="46" t="str">
        <f aca="false">'RAW DATA Q2 - 2'!BL$1</f>
        <v>How would you rate the Common Security Access?
</v>
      </c>
      <c r="D24" s="47" t="n">
        <f aca="false">'RAW DATA Q2 - 2'!BL10</f>
        <v>3</v>
      </c>
    </row>
    <row r="25" customFormat="false" ht="26.85" hidden="false" customHeight="false" outlineLevel="0" collapsed="false">
      <c r="A25" s="45" t="n">
        <v>19</v>
      </c>
      <c r="B25" s="45" t="s">
        <v>195</v>
      </c>
      <c r="C25" s="46" t="str">
        <f aca="false">'RAW DATA Q2 - 2'!BM$1</f>
        <v>How would you rate the Audit Trail?
</v>
      </c>
      <c r="D25" s="47" t="n">
        <f aca="false">'RAW DATA Q2 - 2'!BM10</f>
        <v>3</v>
      </c>
    </row>
    <row r="26" customFormat="false" ht="39.55" hidden="false" customHeight="false" outlineLevel="0" collapsed="false">
      <c r="A26" s="45" t="n">
        <v>20</v>
      </c>
      <c r="B26" s="45" t="s">
        <v>195</v>
      </c>
      <c r="C26" s="46" t="str">
        <f aca="false">'RAW DATA Q2 - 2'!BN$1</f>
        <v>How would you rate the supplier's service in providing one month warranty support after go-live?
</v>
      </c>
      <c r="D26" s="47" t="n">
        <f aca="false">'RAW DATA Q2 - 2'!BN10</f>
        <v>3</v>
      </c>
    </row>
    <row r="27" customFormat="false" ht="52.2" hidden="false" customHeight="false" outlineLevel="0" collapsed="false">
      <c r="A27" s="45" t="n">
        <v>21</v>
      </c>
      <c r="B27" s="45" t="s">
        <v>195</v>
      </c>
      <c r="C27" s="46" t="str">
        <f aca="false">'RAW DATA Q2 - 2'!BO$1</f>
        <v>How would you rate the supplier's services in conducting three-day user training for SAS IFRS17 solution and conducted one-day system administration training for users?
</v>
      </c>
      <c r="D27" s="47" t="n">
        <f aca="false">'RAW DATA Q2 - 2'!BO10</f>
        <v>3</v>
      </c>
    </row>
    <row r="28" customFormat="false" ht="26.85" hidden="false" customHeight="false" outlineLevel="0" collapsed="false">
      <c r="A28" s="48" t="n">
        <v>22</v>
      </c>
      <c r="B28" s="48" t="s">
        <v>196</v>
      </c>
      <c r="C28" s="49" t="str">
        <f aca="false">'RAW DATA Q2 - 2'!DO$1</f>
        <v>How would you rate the supplier's timeliness in delivering goods/services compared to the agreed-upon timeline?</v>
      </c>
      <c r="D28" s="50" t="n">
        <f aca="false">'RAW DATA Q2 - 2'!DO10</f>
        <v>3</v>
      </c>
    </row>
    <row r="29" customFormat="false" ht="15" hidden="false" customHeight="false" outlineLevel="0" collapsed="false">
      <c r="A29" s="48" t="n">
        <v>23</v>
      </c>
      <c r="B29" s="48" t="s">
        <v>196</v>
      </c>
      <c r="C29" s="49" t="str">
        <f aca="false">'RAW DATA Q2 - 2'!DP$1</f>
        <v>How would you rate the supplier's timeliness in sending reports to you?</v>
      </c>
      <c r="D29" s="50" t="n">
        <f aca="false">'RAW DATA Q2 - 2'!DP10</f>
        <v>3</v>
      </c>
    </row>
    <row r="30" customFormat="false" ht="26.85" hidden="false" customHeight="false" outlineLevel="0" collapsed="false">
      <c r="A30" s="48" t="n">
        <v>24</v>
      </c>
      <c r="B30" s="48" t="s">
        <v>196</v>
      </c>
      <c r="C30" s="49" t="str">
        <f aca="false">'RAW DATA Q2 - 2'!DQ$1</f>
        <v>How would you rate the supplier's speed ​​of administrative completion, including completion of contracts draft?</v>
      </c>
      <c r="D30" s="50" t="n">
        <f aca="false">'RAW DATA Q2 - 2'!DQ10</f>
        <v>3</v>
      </c>
    </row>
    <row r="31" customFormat="false" ht="15" hidden="false" customHeight="false" outlineLevel="0" collapsed="false">
      <c r="A31" s="51" t="n">
        <v>25</v>
      </c>
      <c r="B31" s="51" t="s">
        <v>197</v>
      </c>
      <c r="C31" s="52" t="str">
        <f aca="false">'RAW DATA Q2 - 2'!FM$1</f>
        <v>How would you rate the supplier's communication with you?</v>
      </c>
      <c r="D31" s="53" t="n">
        <f aca="false">'RAW DATA Q2 - 2'!FM10</f>
        <v>4</v>
      </c>
    </row>
    <row r="32" customFormat="false" ht="26.85" hidden="false" customHeight="false" outlineLevel="0" collapsed="false">
      <c r="A32" s="51" t="n">
        <v>26</v>
      </c>
      <c r="B32" s="51" t="s">
        <v>197</v>
      </c>
      <c r="C32" s="52" t="str">
        <f aca="false">'RAW DATA Q2 - 2'!FN$1</f>
        <v>How would you rate the supplier's PIC's availability to be contacted when needed?</v>
      </c>
      <c r="D32" s="53" t="n">
        <f aca="false">'RAW DATA Q2 - 2'!FN10</f>
        <v>4</v>
      </c>
    </row>
    <row r="33" customFormat="false" ht="39.55" hidden="false" customHeight="false" outlineLevel="0" collapsed="false">
      <c r="A33" s="51" t="n">
        <v>27</v>
      </c>
      <c r="B33" s="51" t="s">
        <v>197</v>
      </c>
      <c r="C33" s="52" t="str">
        <f aca="false">'RAW DATA Q2 - 2'!FO$1</f>
        <v>How would you rate the supplier's response speed to you when there are issues?
</v>
      </c>
      <c r="D33" s="53" t="n">
        <f aca="false">'RAW DATA Q2 - 2'!FO10</f>
        <v>4</v>
      </c>
    </row>
    <row r="35" customFormat="false" ht="15" hidden="false" customHeight="false" outlineLevel="0" collapsed="false">
      <c r="A35" s="42" t="s">
        <v>198</v>
      </c>
      <c r="B35" s="54" t="n">
        <f aca="false">AVERAGEIF(B7:B33,"Quality",D7:D33)</f>
        <v>3.0952380952381</v>
      </c>
    </row>
    <row r="36" customFormat="false" ht="15" hidden="false" customHeight="false" outlineLevel="0" collapsed="false">
      <c r="A36" s="42" t="s">
        <v>199</v>
      </c>
      <c r="B36" s="54" t="n">
        <f aca="false">AVERAGEIF(B7:B33,"Timeline",D7:D33)</f>
        <v>3</v>
      </c>
    </row>
    <row r="37" customFormat="false" ht="15" hidden="false" customHeight="false" outlineLevel="0" collapsed="false">
      <c r="A37" s="42" t="s">
        <v>200</v>
      </c>
      <c r="B37" s="54" t="n">
        <f aca="false">AVERAGEIF(B7:B33,"Relationship",D7:D33)</f>
        <v>4</v>
      </c>
    </row>
    <row r="38" customFormat="false" ht="15" hidden="false" customHeight="false" outlineLevel="0" collapsed="false">
      <c r="A38" s="42" t="s">
        <v>201</v>
      </c>
      <c r="B38" s="55" t="n">
        <f aca="false">B35*0.35+B36*0.35+B37*0.3</f>
        <v>3.33333333333333</v>
      </c>
    </row>
    <row r="39" customFormat="false" ht="15" hidden="false" customHeight="false" outlineLevel="0" collapsed="false">
      <c r="A39" s="42" t="s">
        <v>202</v>
      </c>
      <c r="B39" s="42" t="str">
        <f aca="false">IF(B38&gt;4.99,"Exceptional",IF(B38&gt;3.99,"Exceed Expectation",IF(B38&gt;=2.99,"Meet Expectation",IF(B38&gt;1.9,"Below Expectation","Unsatisfactory"))))</f>
        <v>Meet Expectation</v>
      </c>
    </row>
    <row r="41" customFormat="false" ht="15" hidden="false" customHeight="false" outlineLevel="0" collapsed="false">
      <c r="A41" s="56" t="s">
        <v>203</v>
      </c>
    </row>
    <row r="42" customFormat="false" ht="15" hidden="false" customHeight="false" outlineLevel="0" collapsed="false">
      <c r="A42" s="38" t="s">
        <v>204</v>
      </c>
      <c r="B42" s="57" t="str">
        <f aca="false">'RAW DATA Q2 - 2'!FP10</f>
        <v>Yes</v>
      </c>
    </row>
    <row r="43" customFormat="false" ht="15" hidden="false" customHeight="false" outlineLevel="0" collapsed="false">
      <c r="A43" s="38" t="s">
        <v>205</v>
      </c>
      <c r="B43" s="57" t="str">
        <f aca="false">'RAW DATA Q2 - 2'!FQ10</f>
        <v>Yes</v>
      </c>
    </row>
    <row r="44" customFormat="false" ht="15" hidden="false" customHeight="false" outlineLevel="0" collapsed="false">
      <c r="A44" s="38" t="s">
        <v>206</v>
      </c>
      <c r="B44" s="57" t="str">
        <f aca="false">'RAW DATA Q2 - 2'!FR10</f>
        <v>No Implementation</v>
      </c>
    </row>
    <row r="45" customFormat="false" ht="15" hidden="false" customHeight="false" outlineLevel="0" collapsed="false">
      <c r="A45" s="38" t="s">
        <v>207</v>
      </c>
      <c r="B45" s="57" t="str">
        <f aca="false">'RAW DATA Q2 - 2'!FS10</f>
        <v>No Implementation</v>
      </c>
    </row>
    <row r="46" customFormat="false" ht="15" hidden="false" customHeight="false" outlineLevel="0" collapsed="false">
      <c r="A46" s="38" t="s">
        <v>208</v>
      </c>
      <c r="B46" s="57" t="str">
        <f aca="false">'RAW DATA Q2 - 2'!FT10</f>
        <v>No Implementation</v>
      </c>
    </row>
    <row r="47" customFormat="false" ht="28.35" hidden="false" customHeight="false" outlineLevel="0" collapsed="false">
      <c r="A47" s="38" t="s">
        <v>209</v>
      </c>
      <c r="B47" s="57" t="str">
        <f aca="false">'RAW DATA Q2 - 2'!FU10</f>
        <v>No – No action items were required</v>
      </c>
    </row>
    <row r="49" customFormat="false" ht="15" hidden="false" customHeight="false" outlineLevel="0" collapsed="false">
      <c r="A49" s="56" t="s">
        <v>74</v>
      </c>
    </row>
    <row r="50" customFormat="false" ht="15" hidden="false" customHeight="false" outlineLevel="0" collapsed="false">
      <c r="B50" s="58" t="str">
        <f aca="false">'RAW DATA Q2 - 2'!FV10</f>
        <v>no feedback</v>
      </c>
      <c r="C50" s="58"/>
      <c r="D50" s="58"/>
    </row>
  </sheetData>
  <mergeCells count="2">
    <mergeCell ref="A1:D1"/>
    <mergeCell ref="B50:D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167</v>
      </c>
    </row>
    <row r="3" customFormat="false" ht="15" hidden="false" customHeight="false" outlineLevel="0" collapsed="false">
      <c r="A3" s="42" t="s">
        <v>56</v>
      </c>
      <c r="B3" s="38" t="s">
        <v>168</v>
      </c>
    </row>
    <row r="4" customFormat="false" ht="15" hidden="false" customHeight="false" outlineLevel="0" collapsed="false">
      <c r="A4" s="42" t="s">
        <v>191</v>
      </c>
      <c r="B4" s="38" t="s">
        <v>169</v>
      </c>
    </row>
    <row r="5" customFormat="false" ht="15" hidden="false" customHeight="false" outlineLevel="0" collapsed="false">
      <c r="A5" s="42" t="s">
        <v>211</v>
      </c>
      <c r="B5" s="38" t="s">
        <v>218</v>
      </c>
    </row>
    <row r="7" customFormat="false" ht="15" hidden="false" customHeight="false" outlineLevel="0" collapsed="false">
      <c r="A7" s="43" t="s">
        <v>78</v>
      </c>
      <c r="B7" s="43" t="s">
        <v>192</v>
      </c>
      <c r="C7" s="44" t="s">
        <v>193</v>
      </c>
      <c r="D7" s="43" t="s">
        <v>194</v>
      </c>
    </row>
    <row r="8" customFormat="false" ht="26.85" hidden="false" customHeight="false" outlineLevel="0" collapsed="false">
      <c r="A8" s="45" t="n">
        <v>1</v>
      </c>
      <c r="B8" s="45" t="s">
        <v>195</v>
      </c>
      <c r="C8" s="46" t="str">
        <f aca="false">'RAW DATA Q2 - 2'!BV$1</f>
        <v>How would you rate the Supplier’s ability to deliver Policy Printing Services SLA?</v>
      </c>
      <c r="D8" s="47" t="n">
        <f aca="false">'RAW DATA Q2 - 2'!BV9</f>
        <v>4</v>
      </c>
    </row>
    <row r="9" customFormat="false" ht="26.85" hidden="false" customHeight="false" outlineLevel="0" collapsed="false">
      <c r="A9" s="45" t="n">
        <v>2</v>
      </c>
      <c r="B9" s="45" t="s">
        <v>195</v>
      </c>
      <c r="C9" s="46" t="str">
        <f aca="false">'RAW DATA Q2 - 2'!BW$1</f>
        <v>Printed policy documents met the agreed material specifications for each policy type?</v>
      </c>
      <c r="D9" s="47" t="n">
        <f aca="false">'RAW DATA Q2 - 2'!BW9</f>
        <v>4</v>
      </c>
    </row>
    <row r="10" customFormat="false" ht="39.55" hidden="false" customHeight="false" outlineLevel="0" collapsed="false">
      <c r="A10" s="45" t="n">
        <v>3</v>
      </c>
      <c r="B10" s="45" t="s">
        <v>195</v>
      </c>
      <c r="C10" s="46" t="str">
        <f aca="false">'RAW DATA Q2 - 2'!BX$1</f>
        <v>How would you rate overall quality of Letter Printing services which includes:
</v>
      </c>
      <c r="D10" s="47" t="n">
        <f aca="false">'RAW DATA Q2 - 2'!BX9</f>
        <v>4</v>
      </c>
    </row>
    <row r="11" customFormat="false" ht="39.55" hidden="false" customHeight="false" outlineLevel="0" collapsed="false">
      <c r="A11" s="45" t="n">
        <v>4</v>
      </c>
      <c r="B11" s="45" t="s">
        <v>195</v>
      </c>
      <c r="C11" s="46" t="str">
        <f aca="false">'RAW DATA Q2 - 2'!BY$1</f>
        <v>How would you rate the overall quality of Training Material Printing service which includes:
</v>
      </c>
      <c r="D11" s="47" t="n">
        <f aca="false">'RAW DATA Q2 - 2'!BY9</f>
        <v>4</v>
      </c>
    </row>
    <row r="12" customFormat="false" ht="52.2" hidden="false" customHeight="false" outlineLevel="0" collapsed="false">
      <c r="A12" s="45" t="n">
        <v>5</v>
      </c>
      <c r="B12" s="45" t="s">
        <v>195</v>
      </c>
      <c r="C12" s="46" t="str">
        <f aca="false">'RAW DATA Q2 - 2'!BZ$1</f>
        <v>How would you rate the Data Capture quality control which should be performed at 100% volume (not random/sample check) for all required QC fields
</v>
      </c>
      <c r="D12" s="47" t="n">
        <f aca="false">'RAW DATA Q2 - 2'!BZ9</f>
        <v>4</v>
      </c>
    </row>
    <row r="13" customFormat="false" ht="39.55" hidden="false" customHeight="false" outlineLevel="0" collapsed="false">
      <c r="A13" s="45" t="n">
        <v>6</v>
      </c>
      <c r="B13" s="45" t="s">
        <v>195</v>
      </c>
      <c r="C13" s="46" t="str">
        <f aca="false">'RAW DATA Q2 - 2'!CA$1</f>
        <v>How would you rate the Data Capture quality control which should be performed at 100% volume (not random/sample check) for all required QC fields?</v>
      </c>
      <c r="D13" s="47" t="n">
        <f aca="false">'RAW DATA Q2 - 2'!CA9</f>
        <v>4</v>
      </c>
    </row>
    <row r="14" customFormat="false" ht="26.85" hidden="false" customHeight="false" outlineLevel="0" collapsed="false">
      <c r="A14" s="48" t="n">
        <v>7</v>
      </c>
      <c r="B14" s="48" t="s">
        <v>196</v>
      </c>
      <c r="C14" s="49" t="str">
        <f aca="false">'RAW DATA Q2 - 2'!CB$1</f>
        <v>Daily and monthly operational reports were submitted completely, accurately, and on time.</v>
      </c>
      <c r="D14" s="50" t="n">
        <f aca="false">'RAW DATA Q2 - 2'!CB9</f>
        <v>4</v>
      </c>
    </row>
    <row r="15" customFormat="false" ht="26.85" hidden="false" customHeight="false" outlineLevel="0" collapsed="false">
      <c r="A15" s="45" t="n">
        <v>8</v>
      </c>
      <c r="B15" s="45" t="s">
        <v>195</v>
      </c>
      <c r="C15" s="46" t="str">
        <f aca="false">'RAW DATA Q2 - 2'!CC$1</f>
        <v>How would you rate the Data Maintenance, Data Security, and Access Control which includes:</v>
      </c>
      <c r="D15" s="47" t="n">
        <f aca="false">'RAW DATA Q2 - 2'!CC9</f>
        <v>4</v>
      </c>
    </row>
    <row r="16" customFormat="false" ht="26.85" hidden="false" customHeight="false" outlineLevel="0" collapsed="false">
      <c r="A16" s="45" t="n">
        <v>9</v>
      </c>
      <c r="B16" s="45" t="s">
        <v>195</v>
      </c>
      <c r="C16" s="46" t="str">
        <f aca="false">'RAW DATA Q2 - 2'!CD$1</f>
        <v>How would you rate the Recovery Process in the Event of Hardware/Software Failure which includes:</v>
      </c>
      <c r="D16" s="47" t="n">
        <f aca="false">'RAW DATA Q2 - 2'!CD9</f>
        <v>4</v>
      </c>
    </row>
    <row r="17" customFormat="false" ht="26.85" hidden="false" customHeight="false" outlineLevel="0" collapsed="false">
      <c r="A17" s="45" t="n">
        <v>10</v>
      </c>
      <c r="B17" s="45" t="s">
        <v>195</v>
      </c>
      <c r="C17" s="46" t="str">
        <f aca="false">'RAW DATA Q2 - 2'!CE$1</f>
        <v>How would you rate overall Document Management Center service?
</v>
      </c>
      <c r="D17" s="47" t="n">
        <f aca="false">'RAW DATA Q2 - 2'!CE9</f>
        <v>4</v>
      </c>
    </row>
    <row r="18" customFormat="false" ht="26.85" hidden="false" customHeight="false" outlineLevel="0" collapsed="false">
      <c r="A18" s="48" t="n">
        <v>11</v>
      </c>
      <c r="B18" s="48" t="s">
        <v>196</v>
      </c>
      <c r="C18" s="49" t="str">
        <f aca="false">'RAW DATA Q2 - 2'!DR$1</f>
        <v>Policy printing was completed within the agreed H0 → H1 → H3 delivery timeline</v>
      </c>
      <c r="D18" s="50" t="n">
        <f aca="false">'RAW DATA Q2 - 2'!DR9</f>
        <v>4</v>
      </c>
    </row>
    <row r="19" customFormat="false" ht="26.85" hidden="false" customHeight="false" outlineLevel="0" collapsed="false">
      <c r="A19" s="48" t="n">
        <v>12</v>
      </c>
      <c r="B19" s="48" t="s">
        <v>196</v>
      </c>
      <c r="C19" s="49" t="str">
        <f aca="false">'RAW DATA Q2 - 2'!DS$1</f>
        <v>Letter printing (Cetak Surat) was completed within H+2 from AMFS approval of the print data file.</v>
      </c>
      <c r="D19" s="50" t="n">
        <f aca="false">'RAW DATA Q2 - 2'!DS9</f>
        <v>4</v>
      </c>
    </row>
    <row r="20" customFormat="false" ht="26.85" hidden="false" customHeight="false" outlineLevel="0" collapsed="false">
      <c r="A20" s="48" t="n">
        <v>13</v>
      </c>
      <c r="B20" s="48" t="s">
        <v>196</v>
      </c>
      <c r="C20" s="49" t="str">
        <f aca="false">'RAW DATA Q2 - 2'!DT$1</f>
        <v>Training material printing (Cetak Dokumen Materi Training) was completed within all three agreed SLA phases</v>
      </c>
      <c r="D20" s="50" t="n">
        <f aca="false">'RAW DATA Q2 - 2'!DT9</f>
        <v>4</v>
      </c>
    </row>
    <row r="21" customFormat="false" ht="26.85" hidden="false" customHeight="false" outlineLevel="0" collapsed="false">
      <c r="A21" s="48" t="n">
        <v>14</v>
      </c>
      <c r="B21" s="48" t="s">
        <v>196</v>
      </c>
      <c r="C21" s="49" t="str">
        <f aca="false">'RAW DATA Q2 - 2'!DU$1</f>
        <v>New Business data was uploaded to RLS within the agreed daily cut-off schedule</v>
      </c>
      <c r="D21" s="50" t="n">
        <f aca="false">'RAW DATA Q2 - 2'!DU9</f>
        <v>4</v>
      </c>
    </row>
    <row r="22" customFormat="false" ht="26.85" hidden="false" customHeight="false" outlineLevel="0" collapsed="false">
      <c r="A22" s="48" t="n">
        <v>15</v>
      </c>
      <c r="B22" s="48" t="s">
        <v>196</v>
      </c>
      <c r="C22" s="49" t="str">
        <f aca="false">'RAW DATA Q2 - 2'!DV$1</f>
        <v>POS and Claim documents were scanned, indexed, and uploaded on the same day within the agreed scanning SLA window</v>
      </c>
      <c r="D22" s="50" t="n">
        <f aca="false">'RAW DATA Q2 - 2'!DV9</f>
        <v>4</v>
      </c>
    </row>
    <row r="23" customFormat="false" ht="26.85" hidden="false" customHeight="false" outlineLevel="0" collapsed="false">
      <c r="A23" s="48" t="n">
        <v>16</v>
      </c>
      <c r="B23" s="48" t="s">
        <v>196</v>
      </c>
      <c r="C23" s="49" t="str">
        <f aca="false">'RAW DATA Q2 - 2'!DW$1</f>
        <v>Physical document retrieval requests from AMFS were fulfilled within 2 working days</v>
      </c>
      <c r="D23" s="50" t="n">
        <f aca="false">'RAW DATA Q2 - 2'!DW9</f>
        <v>4</v>
      </c>
    </row>
    <row r="24" customFormat="false" ht="26.85" hidden="false" customHeight="false" outlineLevel="0" collapsed="false">
      <c r="A24" s="48" t="n">
        <v>17</v>
      </c>
      <c r="B24" s="48" t="s">
        <v>196</v>
      </c>
      <c r="C24" s="49" t="str">
        <f aca="false">'RAW DATA Q2 - 2'!DX$1</f>
        <v>The supplier consistently met late delivery penalty thresholds and did not trigger the escalated penalty clause for policy printing</v>
      </c>
      <c r="D24" s="50" t="n">
        <f aca="false">'RAW DATA Q2 - 2'!DX9</f>
        <v>4</v>
      </c>
    </row>
    <row r="25" customFormat="false" ht="26.85" hidden="false" customHeight="false" outlineLevel="0" collapsed="false">
      <c r="A25" s="48" t="n">
        <v>18</v>
      </c>
      <c r="B25" s="48" t="s">
        <v>196</v>
      </c>
      <c r="C25" s="49" t="str">
        <f aca="false">'RAW DATA Q2 - 2'!DY$1</f>
        <v>The supplier proactively communicated whenever daily SLA targets or processing volumes were at risk of not being met.</v>
      </c>
      <c r="D25" s="50" t="n">
        <f aca="false">'RAW DATA Q2 - 2'!DY9</f>
        <v>4</v>
      </c>
    </row>
    <row r="26" customFormat="false" ht="15" hidden="false" customHeight="false" outlineLevel="0" collapsed="false">
      <c r="A26" s="51" t="n">
        <v>19</v>
      </c>
      <c r="B26" s="51" t="s">
        <v>197</v>
      </c>
      <c r="C26" s="52" t="str">
        <f aca="false">'RAW DATA Q2 - 2'!FM$1</f>
        <v>How would you rate the supplier's communication with you?</v>
      </c>
      <c r="D26" s="53" t="n">
        <f aca="false">'RAW DATA Q2 - 2'!FM9</f>
        <v>5</v>
      </c>
    </row>
    <row r="27" customFormat="false" ht="26.85" hidden="false" customHeight="false" outlineLevel="0" collapsed="false">
      <c r="A27" s="51" t="n">
        <v>20</v>
      </c>
      <c r="B27" s="51" t="s">
        <v>197</v>
      </c>
      <c r="C27" s="52" t="str">
        <f aca="false">'RAW DATA Q2 - 2'!FN$1</f>
        <v>How would you rate the supplier's PIC's availability to be contacted when needed?</v>
      </c>
      <c r="D27" s="53" t="n">
        <f aca="false">'RAW DATA Q2 - 2'!FN9</f>
        <v>5</v>
      </c>
    </row>
    <row r="28" customFormat="false" ht="39.55" hidden="false" customHeight="false" outlineLevel="0" collapsed="false">
      <c r="A28" s="51" t="n">
        <v>21</v>
      </c>
      <c r="B28" s="51" t="s">
        <v>197</v>
      </c>
      <c r="C28" s="52" t="str">
        <f aca="false">'RAW DATA Q2 - 2'!FO$1</f>
        <v>How would you rate the supplier's response speed to you when there are issues?
</v>
      </c>
      <c r="D28" s="53" t="n">
        <f aca="false">'RAW DATA Q2 - 2'!FO9</f>
        <v>5</v>
      </c>
    </row>
    <row r="30" customFormat="false" ht="15" hidden="false" customHeight="false" outlineLevel="0" collapsed="false">
      <c r="A30" s="42" t="s">
        <v>198</v>
      </c>
      <c r="B30" s="54" t="n">
        <f aca="false">AVERAGEIF(B8:B28,"Quality",D8:D28)</f>
        <v>4</v>
      </c>
    </row>
    <row r="31" customFormat="false" ht="15" hidden="false" customHeight="false" outlineLevel="0" collapsed="false">
      <c r="A31" s="42" t="s">
        <v>199</v>
      </c>
      <c r="B31" s="54" t="n">
        <f aca="false">AVERAGEIF(B8:B28,"Timeline",D8:D28)</f>
        <v>4</v>
      </c>
    </row>
    <row r="32" customFormat="false" ht="15" hidden="false" customHeight="false" outlineLevel="0" collapsed="false">
      <c r="A32" s="42" t="s">
        <v>200</v>
      </c>
      <c r="B32" s="54" t="n">
        <f aca="false">AVERAGEIF(B8:B28,"Relationship",D8:D28)</f>
        <v>5</v>
      </c>
    </row>
    <row r="33" customFormat="false" ht="15" hidden="false" customHeight="false" outlineLevel="0" collapsed="false">
      <c r="A33" s="42" t="s">
        <v>201</v>
      </c>
      <c r="B33" s="55" t="n">
        <f aca="false">B30*0.35+B31*0.35+B32*0.3</f>
        <v>4.3</v>
      </c>
    </row>
    <row r="34" customFormat="false" ht="15" hidden="false" customHeight="false" outlineLevel="0" collapsed="false">
      <c r="A34" s="42" t="s">
        <v>202</v>
      </c>
      <c r="B34" s="42" t="str">
        <f aca="false">IF(B33&gt;4.99,"Exceptional",IF(B33&gt;3.99,"Exceed Expectation",IF(B33&gt;=2.99,"Meet Expectation",IF(B33&gt;1.9,"Below Expectation","Unsatisfactory"))))</f>
        <v>Exceed Expectation</v>
      </c>
    </row>
    <row r="36" customFormat="false" ht="15" hidden="false" customHeight="false" outlineLevel="0" collapsed="false">
      <c r="A36" s="56" t="s">
        <v>203</v>
      </c>
    </row>
    <row r="37" customFormat="false" ht="15" hidden="false" customHeight="false" outlineLevel="0" collapsed="false">
      <c r="A37" s="38" t="s">
        <v>204</v>
      </c>
      <c r="B37" s="57" t="str">
        <f aca="false">'RAW DATA Q2 - 2'!FP9</f>
        <v>Yes</v>
      </c>
    </row>
    <row r="38" customFormat="false" ht="15" hidden="false" customHeight="false" outlineLevel="0" collapsed="false">
      <c r="A38" s="38" t="s">
        <v>205</v>
      </c>
      <c r="B38" s="57" t="str">
        <f aca="false">'RAW DATA Q2 - 2'!FQ9</f>
        <v>Yes</v>
      </c>
    </row>
    <row r="39" customFormat="false" ht="41.75" hidden="false" customHeight="false" outlineLevel="0" collapsed="false">
      <c r="A39" s="38" t="s">
        <v>206</v>
      </c>
      <c r="B39" s="57" t="str">
        <f aca="false">'RAW DATA Q2 - 2'!FR9</f>
        <v>Yes, DPIA completed and there are actions to be done by Project Owner</v>
      </c>
    </row>
    <row r="40" customFormat="false" ht="15" hidden="false" customHeight="false" outlineLevel="0" collapsed="false">
      <c r="A40" s="38" t="s">
        <v>207</v>
      </c>
      <c r="B40" s="57" t="str">
        <f aca="false">'RAW DATA Q2 - 2'!FS9</f>
        <v>Yes, DPSQ completed</v>
      </c>
    </row>
    <row r="41" customFormat="false" ht="41.75" hidden="false" customHeight="false" outlineLevel="0" collapsed="false">
      <c r="A41" s="38" t="s">
        <v>208</v>
      </c>
      <c r="B41" s="57" t="str">
        <f aca="false">'RAW DATA Q2 - 2'!FT9</f>
        <v>Yes, VSDDT completed and there are actions to be done by supplier</v>
      </c>
    </row>
    <row r="42" customFormat="false" ht="55.2" hidden="false" customHeight="false" outlineLevel="0" collapsed="false">
      <c r="A42" s="38" t="s">
        <v>209</v>
      </c>
      <c r="B42" s="57" t="str">
        <f aca="false">'RAW DATA Q2 - 2'!FU9</f>
        <v>Yes – All action items have been completed and coordinated with relevant SME</v>
      </c>
    </row>
    <row r="44" customFormat="false" ht="15" hidden="false" customHeight="false" outlineLevel="0" collapsed="false">
      <c r="A44" s="56" t="s">
        <v>74</v>
      </c>
    </row>
    <row r="45" customFormat="false" ht="15" hidden="false" customHeight="false" outlineLevel="0" collapsed="false">
      <c r="B45" s="58" t="str">
        <f aca="false">'RAW DATA Q2 - 2'!FV9</f>
        <v>Improvements to their latest Technology to support process at AXA </v>
      </c>
      <c r="C45" s="58"/>
      <c r="D45" s="58"/>
    </row>
  </sheetData>
  <mergeCells count="2">
    <mergeCell ref="A1:D1"/>
    <mergeCell ref="B45: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171</v>
      </c>
    </row>
    <row r="3" customFormat="false" ht="15" hidden="false" customHeight="false" outlineLevel="0" collapsed="false">
      <c r="A3" s="42" t="s">
        <v>56</v>
      </c>
      <c r="B3" s="38" t="s">
        <v>172</v>
      </c>
    </row>
    <row r="4" customFormat="false" ht="15" hidden="false" customHeight="false" outlineLevel="0" collapsed="false">
      <c r="A4" s="42" t="s">
        <v>191</v>
      </c>
      <c r="B4" s="38" t="s">
        <v>173</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Q2 - 2'!AJ$1</f>
        <v>How would you rate the services provided by the Supplier against the agreed standards</v>
      </c>
      <c r="D7" s="47" t="n">
        <f aca="false">'RAW DATA Q2 - 2'!AJ11</f>
        <v>5</v>
      </c>
    </row>
    <row r="8" customFormat="false" ht="15" hidden="false" customHeight="false" outlineLevel="0" collapsed="false">
      <c r="A8" s="45" t="n">
        <v>2</v>
      </c>
      <c r="B8" s="45" t="s">
        <v>195</v>
      </c>
      <c r="C8" s="46" t="str">
        <f aca="false">'RAW DATA Q2 - 2'!AK$1</f>
        <v>How would you rate the accuracy of the data in the Supplier's reports?1</v>
      </c>
      <c r="D8" s="47" t="n">
        <f aca="false">'RAW DATA Q2 - 2'!AK11</f>
        <v>5</v>
      </c>
    </row>
    <row r="9" customFormat="false" ht="26.85" hidden="false" customHeight="false" outlineLevel="0" collapsed="false">
      <c r="A9" s="45" t="n">
        <v>3</v>
      </c>
      <c r="B9" s="45" t="s">
        <v>195</v>
      </c>
      <c r="C9" s="46" t="str">
        <f aca="false">'RAW DATA Q2 - 2'!AL$1</f>
        <v>How would you rate overall quality of the work reports provided by the Supplier?1</v>
      </c>
      <c r="D9" s="47" t="n">
        <f aca="false">'RAW DATA Q2 - 2'!AL11</f>
        <v>4</v>
      </c>
    </row>
    <row r="10" customFormat="false" ht="15" hidden="false" customHeight="false" outlineLevel="0" collapsed="false">
      <c r="A10" s="45" t="n">
        <v>4</v>
      </c>
      <c r="B10" s="45" t="s">
        <v>195</v>
      </c>
      <c r="C10" s="46" t="str">
        <f aca="false">'RAW DATA Q2 - 2'!AM$1</f>
        <v>How would you rate the solutions provided when there is trouble?2</v>
      </c>
      <c r="D10" s="47" t="n">
        <f aca="false">'RAW DATA Q2 - 2'!AM11</f>
        <v>3</v>
      </c>
    </row>
    <row r="11" customFormat="false" ht="26.85" hidden="false" customHeight="false" outlineLevel="0" collapsed="false">
      <c r="A11" s="45" t="n">
        <v>5</v>
      </c>
      <c r="B11" s="45" t="s">
        <v>195</v>
      </c>
      <c r="C11" s="46" t="str">
        <f aca="false">'RAW DATA Q2 - 2'!AN$1</f>
        <v>How would you rate the vendor initiative to take mitigation/preventive action to prevent the problem from recurring?2</v>
      </c>
      <c r="D11" s="47" t="n">
        <f aca="false">'RAW DATA Q2 - 2'!AN11</f>
        <v>3</v>
      </c>
    </row>
    <row r="12" customFormat="false" ht="26.85" hidden="false" customHeight="false" outlineLevel="0" collapsed="false">
      <c r="A12" s="45" t="n">
        <v>6</v>
      </c>
      <c r="B12" s="45" t="s">
        <v>195</v>
      </c>
      <c r="C12" s="46" t="str">
        <f aca="false">'RAW DATA Q2 - 2'!AO$1</f>
        <v>How would you rate supplier compliance with administrative processes, including completion of draft cooperation contract?3</v>
      </c>
      <c r="D12" s="47" t="n">
        <f aca="false">'RAW DATA Q2 - 2'!AO11</f>
        <v>5</v>
      </c>
    </row>
    <row r="13" customFormat="false" ht="39.55" hidden="false" customHeight="false" outlineLevel="0" collapsed="false">
      <c r="A13" s="45" t="n">
        <v>7</v>
      </c>
      <c r="B13" s="45" t="s">
        <v>195</v>
      </c>
      <c r="C13" s="46" t="str">
        <f aca="false">'RAW DATA Q2 - 2'!AP$1</f>
        <v>How would you rate the supplier's service in providing training materials in accordance with:
</v>
      </c>
      <c r="D13" s="47" t="n">
        <f aca="false">'RAW DATA Q2 - 2'!AP11</f>
        <v>5</v>
      </c>
    </row>
    <row r="14" customFormat="false" ht="39.55" hidden="false" customHeight="false" outlineLevel="0" collapsed="false">
      <c r="A14" s="45" t="n">
        <v>8</v>
      </c>
      <c r="B14" s="45" t="s">
        <v>195</v>
      </c>
      <c r="C14" s="46" t="str">
        <f aca="false">'RAW DATA Q2 - 2'!AQ$1</f>
        <v>How would you rate the supplier's service in creating a discussion session that covers current conditions, understanding objectives, and discussions using specific cases from the training material wit</v>
      </c>
      <c r="D14" s="47" t="n">
        <f aca="false">'RAW DATA Q2 - 2'!AQ11</f>
        <v>3</v>
      </c>
    </row>
    <row r="15" customFormat="false" ht="39.55" hidden="false" customHeight="false" outlineLevel="0" collapsed="false">
      <c r="A15" s="45" t="n">
        <v>9</v>
      </c>
      <c r="B15" s="45" t="s">
        <v>195</v>
      </c>
      <c r="C15" s="46" t="str">
        <f aca="false">'RAW DATA Q2 - 2'!AR$1</f>
        <v>How would you rate the supplier's service in conducting 1 (one) session of Data Privacy and Protection awareness training sessions for AXA and its related business units, along with a post-test.</v>
      </c>
      <c r="D15" s="47" t="n">
        <f aca="false">'RAW DATA Q2 - 2'!AR11</f>
        <v>5</v>
      </c>
    </row>
    <row r="16" customFormat="false" ht="26.85" hidden="false" customHeight="false" outlineLevel="0" collapsed="false">
      <c r="A16" s="45" t="n">
        <v>10</v>
      </c>
      <c r="B16" s="45" t="s">
        <v>195</v>
      </c>
      <c r="C16" s="46" t="str">
        <f aca="false">'RAW DATA Q2 - 2'!AS$1</f>
        <v>How would you rate the supplier's response time for service issues?
</v>
      </c>
      <c r="D16" s="47" t="n">
        <f aca="false">'RAW DATA Q2 - 2'!AS11</f>
        <v>4</v>
      </c>
    </row>
    <row r="17" customFormat="false" ht="39.55" hidden="false" customHeight="false" outlineLevel="0" collapsed="false">
      <c r="A17" s="45" t="n">
        <v>11</v>
      </c>
      <c r="B17" s="45" t="s">
        <v>195</v>
      </c>
      <c r="C17" s="46" t="str">
        <f aca="false">'RAW DATA Q2 - 2'!AT$1</f>
        <v>How would you rate the supplier's project management &amp; management report?
</v>
      </c>
      <c r="D17" s="47" t="n">
        <f aca="false">'RAW DATA Q2 - 2'!AT11</f>
        <v>4</v>
      </c>
    </row>
    <row r="18" customFormat="false" ht="26.85" hidden="false" customHeight="false" outlineLevel="0" collapsed="false">
      <c r="A18" s="48" t="n">
        <v>12</v>
      </c>
      <c r="B18" s="48" t="s">
        <v>196</v>
      </c>
      <c r="C18" s="49" t="str">
        <f aca="false">'RAW DATA Q2 - 2'!DO$1</f>
        <v>How would you rate the supplier's timeliness in delivering goods/services compared to the agreed-upon timeline?</v>
      </c>
      <c r="D18" s="50" t="n">
        <f aca="false">'RAW DATA Q2 - 2'!DO11</f>
        <v>4</v>
      </c>
    </row>
    <row r="19" customFormat="false" ht="15" hidden="false" customHeight="false" outlineLevel="0" collapsed="false">
      <c r="A19" s="48" t="n">
        <v>13</v>
      </c>
      <c r="B19" s="48" t="s">
        <v>196</v>
      </c>
      <c r="C19" s="49" t="str">
        <f aca="false">'RAW DATA Q2 - 2'!DP$1</f>
        <v>How would you rate the supplier's timeliness in sending reports to you?</v>
      </c>
      <c r="D19" s="50" t="n">
        <f aca="false">'RAW DATA Q2 - 2'!DP11</f>
        <v>4</v>
      </c>
    </row>
    <row r="20" customFormat="false" ht="26.85" hidden="false" customHeight="false" outlineLevel="0" collapsed="false">
      <c r="A20" s="48" t="n">
        <v>14</v>
      </c>
      <c r="B20" s="48" t="s">
        <v>196</v>
      </c>
      <c r="C20" s="49" t="str">
        <f aca="false">'RAW DATA Q2 - 2'!DQ$1</f>
        <v>How would you rate the supplier's speed ​​of administrative completion, including completion of contracts draft?</v>
      </c>
      <c r="D20" s="50" t="n">
        <f aca="false">'RAW DATA Q2 - 2'!DQ11</f>
        <v>4</v>
      </c>
    </row>
    <row r="21" customFormat="false" ht="15" hidden="false" customHeight="false" outlineLevel="0" collapsed="false">
      <c r="A21" s="51" t="n">
        <v>15</v>
      </c>
      <c r="B21" s="51" t="s">
        <v>197</v>
      </c>
      <c r="C21" s="52" t="str">
        <f aca="false">'RAW DATA Q2 - 2'!FM$1</f>
        <v>How would you rate the supplier's communication with you?</v>
      </c>
      <c r="D21" s="53" t="n">
        <f aca="false">'RAW DATA Q2 - 2'!FM11</f>
        <v>4</v>
      </c>
    </row>
    <row r="22" customFormat="false" ht="26.85" hidden="false" customHeight="false" outlineLevel="0" collapsed="false">
      <c r="A22" s="51" t="n">
        <v>16</v>
      </c>
      <c r="B22" s="51" t="s">
        <v>197</v>
      </c>
      <c r="C22" s="52" t="str">
        <f aca="false">'RAW DATA Q2 - 2'!FN$1</f>
        <v>How would you rate the supplier's PIC's availability to be contacted when needed?</v>
      </c>
      <c r="D22" s="53" t="n">
        <f aca="false">'RAW DATA Q2 - 2'!FN11</f>
        <v>4</v>
      </c>
    </row>
    <row r="23" customFormat="false" ht="39.55" hidden="false" customHeight="false" outlineLevel="0" collapsed="false">
      <c r="A23" s="51" t="n">
        <v>17</v>
      </c>
      <c r="B23" s="51" t="s">
        <v>197</v>
      </c>
      <c r="C23" s="52" t="str">
        <f aca="false">'RAW DATA Q2 - 2'!FO$1</f>
        <v>How would you rate the supplier's response speed to you when there are issues?
</v>
      </c>
      <c r="D23" s="53" t="n">
        <f aca="false">'RAW DATA Q2 - 2'!FO11</f>
        <v>4</v>
      </c>
    </row>
    <row r="25" customFormat="false" ht="15" hidden="false" customHeight="false" outlineLevel="0" collapsed="false">
      <c r="A25" s="42" t="s">
        <v>198</v>
      </c>
      <c r="B25" s="54" t="n">
        <f aca="false">AVERAGEIF(B7:B23,"Quality",D7:D23)</f>
        <v>4.18181818181818</v>
      </c>
    </row>
    <row r="26" customFormat="false" ht="15" hidden="false" customHeight="false" outlineLevel="0" collapsed="false">
      <c r="A26" s="42" t="s">
        <v>199</v>
      </c>
      <c r="B26" s="54" t="n">
        <f aca="false">AVERAGEIF(B7:B23,"Timeline",D7:D23)</f>
        <v>4</v>
      </c>
    </row>
    <row r="27" customFormat="false" ht="15" hidden="false" customHeight="false" outlineLevel="0" collapsed="false">
      <c r="A27" s="42" t="s">
        <v>200</v>
      </c>
      <c r="B27" s="54" t="n">
        <f aca="false">AVERAGEIF(B7:B23,"Relationship",D7:D23)</f>
        <v>4</v>
      </c>
    </row>
    <row r="28" customFormat="false" ht="15" hidden="false" customHeight="false" outlineLevel="0" collapsed="false">
      <c r="A28" s="42" t="s">
        <v>201</v>
      </c>
      <c r="B28" s="55" t="n">
        <f aca="false">B25*0.35+B26*0.35+B27*0.3</f>
        <v>4.06363636363636</v>
      </c>
    </row>
    <row r="29" customFormat="false" ht="15" hidden="false" customHeight="false" outlineLevel="0" collapsed="false">
      <c r="A29" s="42" t="s">
        <v>202</v>
      </c>
      <c r="B29" s="42" t="str">
        <f aca="false">IF(B28&gt;4.99,"Exceptional",IF(B28&gt;3.99,"Exceed Expectation",IF(B28&gt;=2.99,"Meet Expectation",IF(B28&gt;1.9,"Below Expectation","Unsatisfactory"))))</f>
        <v>Exceed Expectation</v>
      </c>
    </row>
    <row r="31" customFormat="false" ht="15" hidden="false" customHeight="false" outlineLevel="0" collapsed="false">
      <c r="A31" s="56" t="s">
        <v>203</v>
      </c>
    </row>
    <row r="32" customFormat="false" ht="15" hidden="false" customHeight="false" outlineLevel="0" collapsed="false">
      <c r="A32" s="38" t="s">
        <v>204</v>
      </c>
      <c r="B32" s="57" t="str">
        <f aca="false">'RAW DATA Q2 - 2'!FP11</f>
        <v>Yes</v>
      </c>
    </row>
    <row r="33" customFormat="false" ht="15" hidden="false" customHeight="false" outlineLevel="0" collapsed="false">
      <c r="A33" s="38" t="s">
        <v>205</v>
      </c>
      <c r="B33" s="57" t="str">
        <f aca="false">'RAW DATA Q2 - 2'!FQ11</f>
        <v>Yes</v>
      </c>
    </row>
    <row r="34" customFormat="false" ht="41.75" hidden="false" customHeight="false" outlineLevel="0" collapsed="false">
      <c r="A34" s="38" t="s">
        <v>206</v>
      </c>
      <c r="B34" s="57" t="str">
        <f aca="false">'RAW DATA Q2 - 2'!FR11</f>
        <v>Yes, DPIA completed and there are actions to be done by Project Owner</v>
      </c>
    </row>
    <row r="35" customFormat="false" ht="15" hidden="false" customHeight="false" outlineLevel="0" collapsed="false">
      <c r="A35" s="38" t="s">
        <v>207</v>
      </c>
      <c r="B35" s="57" t="str">
        <f aca="false">'RAW DATA Q2 - 2'!FS11</f>
        <v>No Implementation</v>
      </c>
    </row>
    <row r="36" customFormat="false" ht="41.75" hidden="false" customHeight="false" outlineLevel="0" collapsed="false">
      <c r="A36" s="38" t="s">
        <v>208</v>
      </c>
      <c r="B36" s="57" t="str">
        <f aca="false">'RAW DATA Q2 - 2'!FT11</f>
        <v>Yes, VSDDT completed and there are actions to be done by supplier</v>
      </c>
    </row>
    <row r="37" customFormat="false" ht="68.65" hidden="false" customHeight="false" outlineLevel="0" collapsed="false">
      <c r="A37" s="38" t="s">
        <v>209</v>
      </c>
      <c r="B37" s="57" t="str">
        <f aca="false">'RAW DATA Q2 - 2'!FU11</f>
        <v>Yes – Action items identified, but follow‑up and coordination with relevant SME is still required</v>
      </c>
    </row>
    <row r="39" customFormat="false" ht="15" hidden="false" customHeight="false" outlineLevel="0" collapsed="false">
      <c r="A39" s="56" t="s">
        <v>74</v>
      </c>
    </row>
    <row r="40" customFormat="false" ht="55.2" hidden="false" customHeight="false" outlineLevel="0" collapsed="false">
      <c r="B40" s="58" t="str">
        <f aca="false">'RAW DATA Q2 - 2'!FV11</f>
        <v>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v>
      </c>
      <c r="C40" s="58"/>
      <c r="D40" s="58"/>
    </row>
  </sheetData>
  <mergeCells count="2">
    <mergeCell ref="A1:D1"/>
    <mergeCell ref="B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174</v>
      </c>
    </row>
    <row r="3" customFormat="false" ht="15" hidden="false" customHeight="false" outlineLevel="0" collapsed="false">
      <c r="A3" s="42" t="s">
        <v>56</v>
      </c>
      <c r="B3" s="38" t="s">
        <v>175</v>
      </c>
    </row>
    <row r="4" customFormat="false" ht="15" hidden="false" customHeight="false" outlineLevel="0" collapsed="false">
      <c r="A4" s="42" t="s">
        <v>191</v>
      </c>
      <c r="B4" s="38" t="s">
        <v>176</v>
      </c>
    </row>
    <row r="6" customFormat="false" ht="15" hidden="false" customHeight="false" outlineLevel="0" collapsed="false">
      <c r="A6" s="43" t="s">
        <v>78</v>
      </c>
      <c r="B6" s="43" t="s">
        <v>192</v>
      </c>
      <c r="C6" s="44" t="s">
        <v>193</v>
      </c>
      <c r="D6" s="43" t="s">
        <v>194</v>
      </c>
    </row>
    <row r="7" customFormat="false" ht="39.55" hidden="false" customHeight="false" outlineLevel="0" collapsed="false">
      <c r="A7" s="45" t="n">
        <v>1</v>
      </c>
      <c r="B7" s="45" t="s">
        <v>195</v>
      </c>
      <c r="C7" s="46" t="str">
        <f aca="false">'RAW DATA Q2 - 2'!BP$1</f>
        <v>How would you rate the Supplier’s ability to deliver monthly Payroll Services?
</v>
      </c>
      <c r="D7" s="47" t="n">
        <f aca="false">'RAW DATA Q2 - 2'!BP2</f>
        <v>3</v>
      </c>
    </row>
    <row r="8" customFormat="false" ht="39.55" hidden="false" customHeight="false" outlineLevel="0" collapsed="false">
      <c r="A8" s="45" t="n">
        <v>2</v>
      </c>
      <c r="B8" s="45" t="s">
        <v>195</v>
      </c>
      <c r="C8" s="46" t="str">
        <f aca="false">'RAW DATA Q2 - 2'!BQ$1</f>
        <v>How would you rate the Supplier’s ability to deliver Cash Management Services, including the following aspects:
</v>
      </c>
      <c r="D8" s="47" t="n">
        <f aca="false">'RAW DATA Q2 - 2'!BQ2</f>
        <v>3</v>
      </c>
    </row>
    <row r="9" customFormat="false" ht="39.55" hidden="false" customHeight="false" outlineLevel="0" collapsed="false">
      <c r="A9" s="45" t="n">
        <v>3</v>
      </c>
      <c r="B9" s="45" t="s">
        <v>195</v>
      </c>
      <c r="C9" s="46" t="str">
        <f aca="false">'RAW DATA Q2 - 2'!BR$1</f>
        <v>How would you rate the Supplier’s ability to deliver Compliance Services, including the following aspects:
</v>
      </c>
      <c r="D9" s="47" t="n">
        <f aca="false">'RAW DATA Q2 - 2'!BR2</f>
        <v>3</v>
      </c>
    </row>
    <row r="10" customFormat="false" ht="39.55" hidden="false" customHeight="false" outlineLevel="0" collapsed="false">
      <c r="A10" s="45" t="n">
        <v>4</v>
      </c>
      <c r="B10" s="45" t="s">
        <v>195</v>
      </c>
      <c r="C10" s="46" t="str">
        <f aca="false">'RAW DATA Q2 - 2'!BS$1</f>
        <v>How would you rate the Supplier’s ability to deliver BPJS Kesehatan Services?
</v>
      </c>
      <c r="D10" s="47" t="n">
        <f aca="false">'RAW DATA Q2 - 2'!BS2</f>
        <v>3</v>
      </c>
    </row>
    <row r="11" customFormat="false" ht="39.55" hidden="false" customHeight="false" outlineLevel="0" collapsed="false">
      <c r="A11" s="45" t="n">
        <v>5</v>
      </c>
      <c r="B11" s="45" t="s">
        <v>195</v>
      </c>
      <c r="C11" s="46" t="str">
        <f aca="false">'RAW DATA Q2 - 2'!BT$1</f>
        <v>How would you rate the Supplier’s ability to comply with penalty provisions for payroll processing?
</v>
      </c>
      <c r="D11" s="47" t="n">
        <f aca="false">'RAW DATA Q2 - 2'!BT2</f>
        <v>3</v>
      </c>
    </row>
    <row r="12" customFormat="false" ht="39.55" hidden="false" customHeight="false" outlineLevel="0" collapsed="false">
      <c r="A12" s="45" t="n">
        <v>6</v>
      </c>
      <c r="B12" s="45" t="s">
        <v>195</v>
      </c>
      <c r="C12" s="46" t="str">
        <f aca="false">'RAW DATA Q2 - 2'!BU$1</f>
        <v>How would you rate the Supplier’s ability to execute the Special Project for BPJS Kesehatan?
</v>
      </c>
      <c r="D12" s="47" t="n">
        <f aca="false">'RAW DATA Q2 - 2'!BU2</f>
        <v>3</v>
      </c>
    </row>
    <row r="13" customFormat="false" ht="39.55" hidden="false" customHeight="false" outlineLevel="0" collapsed="false">
      <c r="A13" s="48" t="n">
        <v>7</v>
      </c>
      <c r="B13" s="48" t="s">
        <v>196</v>
      </c>
      <c r="C13" s="49" t="str">
        <f aca="false">'RAW DATA Q2 - 2'!DZ$1</f>
        <v>How would you rate the Supplier’s ability to meet payroll disbursement timelines?
</v>
      </c>
      <c r="D13" s="50" t="n">
        <f aca="false">'RAW DATA Q2 - 2'!DZ2</f>
        <v>3</v>
      </c>
    </row>
    <row r="14" customFormat="false" ht="39.55" hidden="false" customHeight="false" outlineLevel="0" collapsed="false">
      <c r="A14" s="48" t="n">
        <v>8</v>
      </c>
      <c r="B14" s="48" t="s">
        <v>196</v>
      </c>
      <c r="C14" s="49" t="str">
        <f aca="false">'RAW DATA Q2 - 2'!EA$1</f>
        <v>How would you rate the Supplier’s ability to meet the timelines for report and form submissions, including the following aspects:
</v>
      </c>
      <c r="D14" s="50" t="n">
        <f aca="false">'RAW DATA Q2 - 2'!EA2</f>
        <v>3</v>
      </c>
    </row>
    <row r="15" customFormat="false" ht="39.55" hidden="false" customHeight="false" outlineLevel="0" collapsed="false">
      <c r="A15" s="48" t="n">
        <v>9</v>
      </c>
      <c r="B15" s="48" t="s">
        <v>196</v>
      </c>
      <c r="C15" s="49" t="str">
        <f aca="false">'RAW DATA Q2 - 2'!EB$1</f>
        <v>How would you rate the Supplier’s ability to meet the required timelines for payment processing?
</v>
      </c>
      <c r="D15" s="50" t="n">
        <f aca="false">'RAW DATA Q2 - 2'!EB2</f>
        <v>3</v>
      </c>
    </row>
    <row r="16" customFormat="false" ht="15" hidden="false" customHeight="false" outlineLevel="0" collapsed="false">
      <c r="A16" s="51" t="n">
        <v>10</v>
      </c>
      <c r="B16" s="51" t="s">
        <v>197</v>
      </c>
      <c r="C16" s="52" t="str">
        <f aca="false">'RAW DATA Q2 - 2'!FM$1</f>
        <v>How would you rate the supplier's communication with you?</v>
      </c>
      <c r="D16" s="53" t="n">
        <f aca="false">'RAW DATA Q2 - 2'!FM2</f>
        <v>3</v>
      </c>
    </row>
    <row r="17" customFormat="false" ht="26.85" hidden="false" customHeight="false" outlineLevel="0" collapsed="false">
      <c r="A17" s="51" t="n">
        <v>11</v>
      </c>
      <c r="B17" s="51" t="s">
        <v>197</v>
      </c>
      <c r="C17" s="52" t="str">
        <f aca="false">'RAW DATA Q2 - 2'!FN$1</f>
        <v>How would you rate the supplier's PIC's availability to be contacted when needed?</v>
      </c>
      <c r="D17" s="53" t="n">
        <f aca="false">'RAW DATA Q2 - 2'!FN2</f>
        <v>3</v>
      </c>
    </row>
    <row r="18" customFormat="false" ht="39.55" hidden="false" customHeight="false" outlineLevel="0" collapsed="false">
      <c r="A18" s="51" t="n">
        <v>12</v>
      </c>
      <c r="B18" s="51" t="s">
        <v>197</v>
      </c>
      <c r="C18" s="52" t="str">
        <f aca="false">'RAW DATA Q2 - 2'!FO$1</f>
        <v>How would you rate the supplier's response speed to you when there are issues?
</v>
      </c>
      <c r="D18" s="53" t="n">
        <f aca="false">'RAW DATA Q2 - 2'!FO2</f>
        <v>3</v>
      </c>
    </row>
    <row r="20" customFormat="false" ht="15" hidden="false" customHeight="false" outlineLevel="0" collapsed="false">
      <c r="A20" s="42" t="s">
        <v>198</v>
      </c>
      <c r="B20" s="54" t="n">
        <f aca="false">AVERAGEIF(B7:B18,"Quality",D7:D18)</f>
        <v>3</v>
      </c>
    </row>
    <row r="21" customFormat="false" ht="15" hidden="false" customHeight="false" outlineLevel="0" collapsed="false">
      <c r="A21" s="42" t="s">
        <v>199</v>
      </c>
      <c r="B21" s="54" t="n">
        <f aca="false">AVERAGEIF(B7:B18,"Timeline",D7:D18)</f>
        <v>3</v>
      </c>
    </row>
    <row r="22" customFormat="false" ht="15" hidden="false" customHeight="false" outlineLevel="0" collapsed="false">
      <c r="A22" s="42" t="s">
        <v>200</v>
      </c>
      <c r="B22" s="54" t="n">
        <f aca="false">AVERAGEIF(B7:B18,"Relationship",D7:D18)</f>
        <v>3</v>
      </c>
    </row>
    <row r="23" customFormat="false" ht="15" hidden="false" customHeight="false" outlineLevel="0" collapsed="false">
      <c r="A23" s="42" t="s">
        <v>201</v>
      </c>
      <c r="B23" s="55" t="n">
        <f aca="false">B20*0.35+B21*0.35+B22*0.3</f>
        <v>3</v>
      </c>
    </row>
    <row r="24" customFormat="false" ht="15" hidden="false" customHeight="false" outlineLevel="0" collapsed="false">
      <c r="A24" s="42" t="s">
        <v>202</v>
      </c>
      <c r="B24" s="42" t="str">
        <f aca="false">IF(B23&gt;4.99,"Exceptional",IF(B23&gt;3.99,"Exceed Expectation",IF(B23&gt;=2.99,"Meet Expectation",IF(B23&gt;1.9,"Below Expectation","Unsatisfactory"))))</f>
        <v>Meet Expectation</v>
      </c>
    </row>
    <row r="26" customFormat="false" ht="15" hidden="false" customHeight="false" outlineLevel="0" collapsed="false">
      <c r="A26" s="56" t="s">
        <v>203</v>
      </c>
    </row>
    <row r="27" customFormat="false" ht="15" hidden="false" customHeight="false" outlineLevel="0" collapsed="false">
      <c r="A27" s="38" t="s">
        <v>204</v>
      </c>
      <c r="B27" s="57" t="str">
        <f aca="false">'RAW DATA Q2 - 2'!FP2</f>
        <v>Yes</v>
      </c>
    </row>
    <row r="28" customFormat="false" ht="15" hidden="false" customHeight="false" outlineLevel="0" collapsed="false">
      <c r="A28" s="38" t="s">
        <v>205</v>
      </c>
      <c r="B28" s="57" t="str">
        <f aca="false">'RAW DATA Q2 - 2'!FQ2</f>
        <v>Yes</v>
      </c>
    </row>
    <row r="29" customFormat="false" ht="41.75" hidden="false" customHeight="false" outlineLevel="0" collapsed="false">
      <c r="A29" s="38" t="s">
        <v>206</v>
      </c>
      <c r="B29" s="57" t="str">
        <f aca="false">'RAW DATA Q2 - 2'!FR2</f>
        <v>Yes, DPIA completed and there are actions to be done by Project Owner</v>
      </c>
    </row>
    <row r="30" customFormat="false" ht="15" hidden="false" customHeight="false" outlineLevel="0" collapsed="false">
      <c r="A30" s="38" t="s">
        <v>207</v>
      </c>
      <c r="B30" s="57" t="str">
        <f aca="false">'RAW DATA Q2 - 2'!FS2</f>
        <v>Yes, DPSQ completed</v>
      </c>
    </row>
    <row r="31" customFormat="false" ht="41.75" hidden="false" customHeight="false" outlineLevel="0" collapsed="false">
      <c r="A31" s="38" t="s">
        <v>208</v>
      </c>
      <c r="B31" s="57" t="str">
        <f aca="false">'RAW DATA Q2 - 2'!FT2</f>
        <v>Yes, VSDDT completed and there are actions to be done by supplier</v>
      </c>
    </row>
    <row r="32" customFormat="false" ht="55.2" hidden="false" customHeight="false" outlineLevel="0" collapsed="false">
      <c r="A32" s="38" t="s">
        <v>209</v>
      </c>
      <c r="B32" s="57" t="str">
        <f aca="false">'RAW DATA Q2 - 2'!FU2</f>
        <v>Yes – All action items have been completed and coordinated with relevant SME</v>
      </c>
    </row>
    <row r="34" customFormat="false" ht="15" hidden="false" customHeight="false" outlineLevel="0" collapsed="false">
      <c r="A34" s="56" t="s">
        <v>74</v>
      </c>
    </row>
    <row r="35" customFormat="false" ht="15" hidden="false" customHeight="false" outlineLevel="0" collapsed="false">
      <c r="B35" s="58" t="str">
        <f aca="false">'RAW DATA Q2 - 2'!FV2</f>
        <v>-</v>
      </c>
      <c r="C35" s="58"/>
      <c r="D35" s="58"/>
    </row>
  </sheetData>
  <mergeCells count="2">
    <mergeCell ref="A1:D1"/>
    <mergeCell ref="B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177</v>
      </c>
    </row>
    <row r="3" customFormat="false" ht="15" hidden="false" customHeight="false" outlineLevel="0" collapsed="false">
      <c r="A3" s="42" t="s">
        <v>56</v>
      </c>
      <c r="B3" s="38" t="s">
        <v>178</v>
      </c>
    </row>
    <row r="4" customFormat="false" ht="15" hidden="false" customHeight="false" outlineLevel="0" collapsed="false">
      <c r="A4" s="42" t="s">
        <v>191</v>
      </c>
      <c r="B4" s="38" t="s">
        <v>152</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Q2 - 2'!P$1</f>
        <v>How would you rate the goods/services provided by the Supplier against the agreed standards</v>
      </c>
      <c r="D7" s="47" t="n">
        <f aca="false">'RAW DATA Q2 - 2'!P5</f>
        <v>3</v>
      </c>
    </row>
    <row r="8" customFormat="false" ht="15" hidden="false" customHeight="false" outlineLevel="0" collapsed="false">
      <c r="A8" s="45" t="n">
        <v>2</v>
      </c>
      <c r="B8" s="45" t="s">
        <v>195</v>
      </c>
      <c r="C8" s="46" t="str">
        <f aca="false">'RAW DATA Q2 - 2'!Q$1</f>
        <v>How would you rate the accuracy of the data in the Supplier's reports?</v>
      </c>
      <c r="D8" s="47" t="n">
        <f aca="false">'RAW DATA Q2 - 2'!Q5</f>
        <v>4</v>
      </c>
    </row>
    <row r="9" customFormat="false" ht="26.85" hidden="false" customHeight="false" outlineLevel="0" collapsed="false">
      <c r="A9" s="45" t="n">
        <v>3</v>
      </c>
      <c r="B9" s="45" t="s">
        <v>195</v>
      </c>
      <c r="C9" s="46" t="str">
        <f aca="false">'RAW DATA Q2 - 2'!R$1</f>
        <v>How would you rate overall quality of the work reports provided by the Supplier?</v>
      </c>
      <c r="D9" s="47" t="n">
        <f aca="false">'RAW DATA Q2 - 2'!R5</f>
        <v>4</v>
      </c>
    </row>
    <row r="10" customFormat="false" ht="15" hidden="false" customHeight="false" outlineLevel="0" collapsed="false">
      <c r="A10" s="45" t="n">
        <v>4</v>
      </c>
      <c r="B10" s="45" t="s">
        <v>195</v>
      </c>
      <c r="C10" s="46" t="str">
        <f aca="false">'RAW DATA Q2 - 2'!S$1</f>
        <v>How would you rate the solutions provided when there is trouble?</v>
      </c>
      <c r="D10" s="47" t="n">
        <f aca="false">'RAW DATA Q2 - 2'!S5</f>
        <v>3</v>
      </c>
    </row>
    <row r="11" customFormat="false" ht="26.85" hidden="false" customHeight="false" outlineLevel="0" collapsed="false">
      <c r="A11" s="45" t="n">
        <v>5</v>
      </c>
      <c r="B11" s="45" t="s">
        <v>195</v>
      </c>
      <c r="C11" s="46" t="str">
        <f aca="false">'RAW DATA Q2 - 2'!T$1</f>
        <v>How would you rate the Vendor initiative to take mitigation/preventive action to prevent the problem from recurring?</v>
      </c>
      <c r="D11" s="47" t="n">
        <f aca="false">'RAW DATA Q2 - 2'!T5</f>
        <v>3</v>
      </c>
    </row>
    <row r="12" customFormat="false" ht="26.85" hidden="false" customHeight="false" outlineLevel="0" collapsed="false">
      <c r="A12" s="45" t="n">
        <v>6</v>
      </c>
      <c r="B12" s="45" t="s">
        <v>195</v>
      </c>
      <c r="C12" s="46" t="str">
        <f aca="false">'RAW DATA Q2 - 2'!U$1</f>
        <v>How would you rate supplier compliance with administrative processes, including completion of draft cooperation contract?1</v>
      </c>
      <c r="D12" s="47" t="n">
        <f aca="false">'RAW DATA Q2 - 2'!U5</f>
        <v>4</v>
      </c>
    </row>
    <row r="13" customFormat="false" ht="39.55" hidden="false" customHeight="false" outlineLevel="0" collapsed="false">
      <c r="A13" s="45" t="n">
        <v>7</v>
      </c>
      <c r="B13" s="45" t="s">
        <v>195</v>
      </c>
      <c r="C13" s="46" t="str">
        <f aca="false">'RAW DATA Q2 - 2'!V$1</f>
        <v>How would you rate the supplier implementation on a Project Management Approach, which includes: 
</v>
      </c>
      <c r="D13" s="47" t="n">
        <f aca="false">'RAW DATA Q2 - 2'!V5</f>
        <v>3</v>
      </c>
    </row>
    <row r="14" customFormat="false" ht="39.55" hidden="false" customHeight="false" outlineLevel="0" collapsed="false">
      <c r="A14" s="45" t="n">
        <v>8</v>
      </c>
      <c r="B14" s="45" t="s">
        <v>195</v>
      </c>
      <c r="C14" s="46" t="str">
        <f aca="false">'RAW DATA Q2 - 2'!W$1</f>
        <v>How would you rate the supplier support in providing 1 (one) Technical Support personnel who is specifically assigned? Based on SLA, this technical support will be assigned at Menara Global and Graha </v>
      </c>
      <c r="D14" s="47" t="n">
        <f aca="false">'RAW DATA Q2 - 2'!W5</f>
        <v>4</v>
      </c>
    </row>
    <row r="15" customFormat="false" ht="39.55" hidden="false" customHeight="false" outlineLevel="0" collapsed="false">
      <c r="A15" s="45" t="n">
        <v>9</v>
      </c>
      <c r="B15" s="45" t="s">
        <v>195</v>
      </c>
      <c r="C15" s="46" t="str">
        <f aca="false">'RAW DATA Q2 - 2'!X$1</f>
        <v>How would you rate the supplier support in providing technical support personnel who will perform several activities such as:
</v>
      </c>
      <c r="D15" s="47" t="n">
        <f aca="false">'RAW DATA Q2 - 2'!X5</f>
        <v>4</v>
      </c>
    </row>
    <row r="16" customFormat="false" ht="39.55" hidden="false" customHeight="false" outlineLevel="0" collapsed="false">
      <c r="A16" s="45" t="n">
        <v>10</v>
      </c>
      <c r="B16" s="45" t="s">
        <v>195</v>
      </c>
      <c r="C16" s="46" t="str">
        <f aca="false">'RAW DATA Q2 - 2'!Y$1</f>
        <v>How would you rate the supplier support in maintaining 99% SLA for System Availability in providing the Services to AMFS (SLA calculation does not include service downtime triggered by deliverables no</v>
      </c>
      <c r="D16" s="47" t="n">
        <f aca="false">'RAW DATA Q2 - 2'!Y5</f>
        <v>4</v>
      </c>
    </row>
    <row r="17" customFormat="false" ht="39.55" hidden="false" customHeight="false" outlineLevel="0" collapsed="false">
      <c r="A17" s="45" t="n">
        <v>11</v>
      </c>
      <c r="B17" s="45" t="s">
        <v>195</v>
      </c>
      <c r="C17" s="46" t="str">
        <f aca="false">'RAW DATA Q2 - 2'!Z$1</f>
        <v>How would you rate the supplier support in providing Annual Support such as:
</v>
      </c>
      <c r="D17" s="47" t="n">
        <f aca="false">'RAW DATA Q2 - 2'!Z5</f>
        <v>4</v>
      </c>
    </row>
    <row r="18" customFormat="false" ht="26.85" hidden="false" customHeight="false" outlineLevel="0" collapsed="false">
      <c r="A18" s="48" t="n">
        <v>12</v>
      </c>
      <c r="B18" s="48" t="s">
        <v>196</v>
      </c>
      <c r="C18" s="49" t="str">
        <f aca="false">'RAW DATA Q2 - 2'!DO$1</f>
        <v>How would you rate the supplier's timeliness in delivering goods/services compared to the agreed-upon timeline?</v>
      </c>
      <c r="D18" s="50" t="n">
        <f aca="false">'RAW DATA Q2 - 2'!DO5</f>
        <v>3</v>
      </c>
    </row>
    <row r="19" customFormat="false" ht="15" hidden="false" customHeight="false" outlineLevel="0" collapsed="false">
      <c r="A19" s="48" t="n">
        <v>13</v>
      </c>
      <c r="B19" s="48" t="s">
        <v>196</v>
      </c>
      <c r="C19" s="49" t="str">
        <f aca="false">'RAW DATA Q2 - 2'!DP$1</f>
        <v>How would you rate the supplier's timeliness in sending reports to you?</v>
      </c>
      <c r="D19" s="50" t="n">
        <f aca="false">'RAW DATA Q2 - 2'!DP5</f>
        <v>4</v>
      </c>
    </row>
    <row r="20" customFormat="false" ht="26.85" hidden="false" customHeight="false" outlineLevel="0" collapsed="false">
      <c r="A20" s="48" t="n">
        <v>14</v>
      </c>
      <c r="B20" s="48" t="s">
        <v>196</v>
      </c>
      <c r="C20" s="49" t="str">
        <f aca="false">'RAW DATA Q2 - 2'!DQ$1</f>
        <v>How would you rate the supplier's speed ​​of administrative completion, including completion of contracts draft?</v>
      </c>
      <c r="D20" s="50" t="n">
        <f aca="false">'RAW DATA Q2 - 2'!DQ5</f>
        <v>3</v>
      </c>
    </row>
    <row r="21" customFormat="false" ht="15" hidden="false" customHeight="false" outlineLevel="0" collapsed="false">
      <c r="A21" s="51" t="n">
        <v>15</v>
      </c>
      <c r="B21" s="51" t="s">
        <v>197</v>
      </c>
      <c r="C21" s="52" t="str">
        <f aca="false">'RAW DATA Q2 - 2'!FM$1</f>
        <v>How would you rate the supplier's communication with you?</v>
      </c>
      <c r="D21" s="53" t="n">
        <f aca="false">'RAW DATA Q2 - 2'!FM5</f>
        <v>4</v>
      </c>
    </row>
    <row r="22" customFormat="false" ht="26.85" hidden="false" customHeight="false" outlineLevel="0" collapsed="false">
      <c r="A22" s="51" t="n">
        <v>16</v>
      </c>
      <c r="B22" s="51" t="s">
        <v>197</v>
      </c>
      <c r="C22" s="52" t="str">
        <f aca="false">'RAW DATA Q2 - 2'!FN$1</f>
        <v>How would you rate the supplier's PIC's availability to be contacted when needed?</v>
      </c>
      <c r="D22" s="53" t="n">
        <f aca="false">'RAW DATA Q2 - 2'!FN5</f>
        <v>3</v>
      </c>
    </row>
    <row r="23" customFormat="false" ht="39.55" hidden="false" customHeight="false" outlineLevel="0" collapsed="false">
      <c r="A23" s="51" t="n">
        <v>17</v>
      </c>
      <c r="B23" s="51" t="s">
        <v>197</v>
      </c>
      <c r="C23" s="52" t="str">
        <f aca="false">'RAW DATA Q2 - 2'!FO$1</f>
        <v>How would you rate the supplier's response speed to you when there are issues?
</v>
      </c>
      <c r="D23" s="53" t="n">
        <f aca="false">'RAW DATA Q2 - 2'!FO5</f>
        <v>4</v>
      </c>
    </row>
    <row r="25" customFormat="false" ht="15" hidden="false" customHeight="false" outlineLevel="0" collapsed="false">
      <c r="A25" s="42" t="s">
        <v>198</v>
      </c>
      <c r="B25" s="54" t="n">
        <f aca="false">AVERAGEIF(B7:B23,"Quality",D7:D23)</f>
        <v>3.63636363636364</v>
      </c>
    </row>
    <row r="26" customFormat="false" ht="15" hidden="false" customHeight="false" outlineLevel="0" collapsed="false">
      <c r="A26" s="42" t="s">
        <v>199</v>
      </c>
      <c r="B26" s="54" t="n">
        <f aca="false">AVERAGEIF(B7:B23,"Timeline",D7:D23)</f>
        <v>3.33333333333333</v>
      </c>
    </row>
    <row r="27" customFormat="false" ht="15" hidden="false" customHeight="false" outlineLevel="0" collapsed="false">
      <c r="A27" s="42" t="s">
        <v>200</v>
      </c>
      <c r="B27" s="54" t="n">
        <f aca="false">AVERAGEIF(B7:B23,"Relationship",D7:D23)</f>
        <v>3.66666666666667</v>
      </c>
    </row>
    <row r="28" customFormat="false" ht="15" hidden="false" customHeight="false" outlineLevel="0" collapsed="false">
      <c r="A28" s="42" t="s">
        <v>201</v>
      </c>
      <c r="B28" s="55" t="n">
        <f aca="false">B25*0.35+B26*0.35+B27*0.3</f>
        <v>3.53939393939394</v>
      </c>
    </row>
    <row r="29" customFormat="false" ht="15" hidden="false" customHeight="false" outlineLevel="0" collapsed="false">
      <c r="A29" s="42" t="s">
        <v>202</v>
      </c>
      <c r="B29" s="42" t="str">
        <f aca="false">IF(B28&gt;4.99,"Exceptional",IF(B28&gt;3.99,"Exceed Expectation",IF(B28&gt;=2.99,"Meet Expectation",IF(B28&gt;1.9,"Below Expectation","Unsatisfactory"))))</f>
        <v>Meet Expectation</v>
      </c>
    </row>
    <row r="31" customFormat="false" ht="15" hidden="false" customHeight="false" outlineLevel="0" collapsed="false">
      <c r="A31" s="56" t="s">
        <v>203</v>
      </c>
    </row>
    <row r="32" customFormat="false" ht="15" hidden="false" customHeight="false" outlineLevel="0" collapsed="false">
      <c r="A32" s="38" t="s">
        <v>204</v>
      </c>
      <c r="B32" s="57" t="str">
        <f aca="false">'RAW DATA Q2 - 2'!FP5</f>
        <v>Yes</v>
      </c>
    </row>
    <row r="33" customFormat="false" ht="15" hidden="false" customHeight="false" outlineLevel="0" collapsed="false">
      <c r="A33" s="38" t="s">
        <v>205</v>
      </c>
      <c r="B33" s="57" t="str">
        <f aca="false">'RAW DATA Q2 - 2'!FQ5</f>
        <v>Yes</v>
      </c>
    </row>
    <row r="34" customFormat="false" ht="41.75" hidden="false" customHeight="false" outlineLevel="0" collapsed="false">
      <c r="A34" s="38" t="s">
        <v>206</v>
      </c>
      <c r="B34" s="57" t="str">
        <f aca="false">'RAW DATA Q2 - 2'!FR5</f>
        <v>Yes, DPIA completed and there are actions to be done by Project Owner</v>
      </c>
    </row>
    <row r="35" customFormat="false" ht="28.35" hidden="false" customHeight="false" outlineLevel="0" collapsed="false">
      <c r="A35" s="38" t="s">
        <v>207</v>
      </c>
      <c r="B35" s="57" t="str">
        <f aca="false">'RAW DATA Q2 - 2'!FS5</f>
        <v>Yes, DPSQ not completed yet</v>
      </c>
    </row>
    <row r="36" customFormat="false" ht="41.75" hidden="false" customHeight="false" outlineLevel="0" collapsed="false">
      <c r="A36" s="38" t="s">
        <v>208</v>
      </c>
      <c r="B36" s="57" t="str">
        <f aca="false">'RAW DATA Q2 - 2'!FT5</f>
        <v>Yes, VSDDT completed and there are actions to be done by supplier</v>
      </c>
    </row>
    <row r="37" customFormat="false" ht="68.65" hidden="false" customHeight="false" outlineLevel="0" collapsed="false">
      <c r="A37" s="38" t="s">
        <v>209</v>
      </c>
      <c r="B37" s="57" t="str">
        <f aca="false">'RAW DATA Q2 - 2'!FU5</f>
        <v>Yes – Action items identified, but follow‑up and coordination with relevant SME is still required</v>
      </c>
    </row>
    <row r="39" customFormat="false" ht="15" hidden="false" customHeight="false" outlineLevel="0" collapsed="false">
      <c r="A39" s="56" t="s">
        <v>74</v>
      </c>
    </row>
    <row r="40" customFormat="false" ht="28.35" hidden="false" customHeight="false" outlineLevel="0" collapsed="false">
      <c r="B40" s="58" t="str">
        <f aca="false">'RAW DATA Q2 - 2'!FV5</f>
        <v>1. For AI Implementation, KPSG need to improve the delivery time, quality and PIC availability and backup PIC support
2. Another enhancement need to speed up with dedicated team </v>
      </c>
      <c r="C40" s="58"/>
      <c r="D40" s="58"/>
    </row>
  </sheetData>
  <mergeCells count="2">
    <mergeCell ref="A1:D1"/>
    <mergeCell ref="B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179</v>
      </c>
    </row>
    <row r="3" customFormat="false" ht="15" hidden="false" customHeight="false" outlineLevel="0" collapsed="false">
      <c r="A3" s="42" t="s">
        <v>56</v>
      </c>
      <c r="B3" s="38" t="s">
        <v>180</v>
      </c>
    </row>
    <row r="4" customFormat="false" ht="15" hidden="false" customHeight="false" outlineLevel="0" collapsed="false">
      <c r="A4" s="42" t="s">
        <v>191</v>
      </c>
      <c r="B4" s="38" t="s">
        <v>181</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Q2 - 2'!H$1</f>
        <v>How would you rate the services provided by the supplier?
</v>
      </c>
      <c r="D7" s="47" t="n">
        <f aca="false">'RAW DATA Q2 - 2'!H7</f>
        <v>4</v>
      </c>
    </row>
    <row r="8" customFormat="false" ht="15" hidden="false" customHeight="false" outlineLevel="0" collapsed="false">
      <c r="A8" s="45" t="n">
        <v>2</v>
      </c>
      <c r="B8" s="45" t="s">
        <v>195</v>
      </c>
      <c r="C8" s="46" t="str">
        <f aca="false">'RAW DATA Q2 - 2'!I$1</f>
        <v>How would you rate the accuracy of the data in the Supplier's reports?</v>
      </c>
      <c r="D8" s="47" t="n">
        <f aca="false">'RAW DATA Q2 - 2'!I7</f>
        <v>4</v>
      </c>
    </row>
    <row r="9" customFormat="false" ht="26.85" hidden="false" customHeight="false" outlineLevel="0" collapsed="false">
      <c r="A9" s="45" t="n">
        <v>3</v>
      </c>
      <c r="B9" s="45" t="s">
        <v>195</v>
      </c>
      <c r="C9" s="46" t="str">
        <f aca="false">'RAW DATA Q2 - 2'!J$1</f>
        <v>How would you rate overall quality of the work reports provided by the Supplier</v>
      </c>
      <c r="D9" s="47" t="n">
        <f aca="false">'RAW DATA Q2 - 2'!J7</f>
        <v>3</v>
      </c>
    </row>
    <row r="10" customFormat="false" ht="26.85" hidden="false" customHeight="false" outlineLevel="0" collapsed="false">
      <c r="A10" s="45" t="n">
        <v>4</v>
      </c>
      <c r="B10" s="45" t="s">
        <v>195</v>
      </c>
      <c r="C10" s="46" t="str">
        <f aca="false">'RAW DATA Q2 - 2'!K$1</f>
        <v>How would you rate the solutions provided by the supplier when there is trouble?</v>
      </c>
      <c r="D10" s="47" t="n">
        <f aca="false">'RAW DATA Q2 - 2'!K7</f>
        <v>3</v>
      </c>
    </row>
    <row r="11" customFormat="false" ht="15" hidden="false" customHeight="false" outlineLevel="0" collapsed="false">
      <c r="A11" s="45" t="n">
        <v>5</v>
      </c>
      <c r="B11" s="45" t="s">
        <v>195</v>
      </c>
      <c r="C11" s="46" t="str">
        <f aca="false">'RAW DATA Q2 - 2'!L$1</f>
        <v>How would you rate the resolution to the problem that occurred?</v>
      </c>
      <c r="D11" s="47" t="n">
        <f aca="false">'RAW DATA Q2 - 2'!L7</f>
        <v>3</v>
      </c>
    </row>
    <row r="12" customFormat="false" ht="26.85" hidden="false" customHeight="false" outlineLevel="0" collapsed="false">
      <c r="A12" s="45" t="n">
        <v>6</v>
      </c>
      <c r="B12" s="45" t="s">
        <v>195</v>
      </c>
      <c r="C12" s="46" t="str">
        <f aca="false">'RAW DATA Q2 - 2'!M$1</f>
        <v>How would you rate the speed of resolution given to problems that occur?</v>
      </c>
      <c r="D12" s="47" t="n">
        <f aca="false">'RAW DATA Q2 - 2'!M7</f>
        <v>3</v>
      </c>
    </row>
    <row r="13" customFormat="false" ht="26.85" hidden="false" customHeight="false" outlineLevel="0" collapsed="false">
      <c r="A13" s="45" t="n">
        <v>7</v>
      </c>
      <c r="B13" s="45" t="s">
        <v>195</v>
      </c>
      <c r="C13" s="46" t="str">
        <f aca="false">'RAW DATA Q2 - 2'!N$1</f>
        <v>How would you rate supplier initiative to take mitigation/preventive action to prevent recurring problem?</v>
      </c>
      <c r="D13" s="47" t="n">
        <f aca="false">'RAW DATA Q2 - 2'!N7</f>
        <v>3</v>
      </c>
    </row>
    <row r="14" customFormat="false" ht="26.85" hidden="false" customHeight="false" outlineLevel="0" collapsed="false">
      <c r="A14" s="45" t="n">
        <v>8</v>
      </c>
      <c r="B14" s="45" t="s">
        <v>195</v>
      </c>
      <c r="C14" s="46" t="str">
        <f aca="false">'RAW DATA Q2 - 2'!O$1</f>
        <v>How would you rate supplier compliance with administrative processes, including completion of draft cooperation contract?</v>
      </c>
      <c r="D14" s="47" t="n">
        <f aca="false">'RAW DATA Q2 - 2'!O7</f>
        <v>3</v>
      </c>
    </row>
    <row r="15" customFormat="false" ht="26.85" hidden="false" customHeight="false" outlineLevel="0" collapsed="false">
      <c r="A15" s="48" t="n">
        <v>9</v>
      </c>
      <c r="B15" s="48" t="s">
        <v>196</v>
      </c>
      <c r="C15" s="49" t="str">
        <f aca="false">'RAW DATA Q2 - 2'!DO$1</f>
        <v>How would you rate the supplier's timeliness in delivering goods/services compared to the agreed-upon timeline?</v>
      </c>
      <c r="D15" s="50" t="n">
        <f aca="false">'RAW DATA Q2 - 2'!DO7</f>
        <v>3</v>
      </c>
    </row>
    <row r="16" customFormat="false" ht="15" hidden="false" customHeight="false" outlineLevel="0" collapsed="false">
      <c r="A16" s="48" t="n">
        <v>10</v>
      </c>
      <c r="B16" s="48" t="s">
        <v>196</v>
      </c>
      <c r="C16" s="49" t="str">
        <f aca="false">'RAW DATA Q2 - 2'!DP$1</f>
        <v>How would you rate the supplier's timeliness in sending reports to you?</v>
      </c>
      <c r="D16" s="50" t="n">
        <f aca="false">'RAW DATA Q2 - 2'!DP7</f>
        <v>3</v>
      </c>
    </row>
    <row r="17" customFormat="false" ht="26.85" hidden="false" customHeight="false" outlineLevel="0" collapsed="false">
      <c r="A17" s="48" t="n">
        <v>11</v>
      </c>
      <c r="B17" s="48" t="s">
        <v>196</v>
      </c>
      <c r="C17" s="49" t="str">
        <f aca="false">'RAW DATA Q2 - 2'!DQ$1</f>
        <v>How would you rate the supplier's speed ​​of administrative completion, including completion of contracts draft?</v>
      </c>
      <c r="D17" s="50" t="n">
        <f aca="false">'RAW DATA Q2 - 2'!DQ7</f>
        <v>3</v>
      </c>
    </row>
    <row r="18" customFormat="false" ht="15" hidden="false" customHeight="false" outlineLevel="0" collapsed="false">
      <c r="A18" s="51" t="n">
        <v>12</v>
      </c>
      <c r="B18" s="51" t="s">
        <v>197</v>
      </c>
      <c r="C18" s="52" t="str">
        <f aca="false">'RAW DATA Q2 - 2'!FM$1</f>
        <v>How would you rate the supplier's communication with you?</v>
      </c>
      <c r="D18" s="53" t="n">
        <f aca="false">'RAW DATA Q2 - 2'!FM7</f>
        <v>3</v>
      </c>
    </row>
    <row r="19" customFormat="false" ht="26.85" hidden="false" customHeight="false" outlineLevel="0" collapsed="false">
      <c r="A19" s="51" t="n">
        <v>13</v>
      </c>
      <c r="B19" s="51" t="s">
        <v>197</v>
      </c>
      <c r="C19" s="52" t="str">
        <f aca="false">'RAW DATA Q2 - 2'!FN$1</f>
        <v>How would you rate the supplier's PIC's availability to be contacted when needed?</v>
      </c>
      <c r="D19" s="53" t="n">
        <f aca="false">'RAW DATA Q2 - 2'!FN7</f>
        <v>3</v>
      </c>
    </row>
    <row r="20" customFormat="false" ht="39.55" hidden="false" customHeight="false" outlineLevel="0" collapsed="false">
      <c r="A20" s="51" t="n">
        <v>14</v>
      </c>
      <c r="B20" s="51" t="s">
        <v>197</v>
      </c>
      <c r="C20" s="52" t="str">
        <f aca="false">'RAW DATA Q2 - 2'!FO$1</f>
        <v>How would you rate the supplier's response speed to you when there are issues?
</v>
      </c>
      <c r="D20" s="53" t="n">
        <f aca="false">'RAW DATA Q2 - 2'!FO7</f>
        <v>3</v>
      </c>
    </row>
    <row r="22" customFormat="false" ht="15" hidden="false" customHeight="false" outlineLevel="0" collapsed="false">
      <c r="A22" s="42" t="s">
        <v>198</v>
      </c>
      <c r="B22" s="54" t="n">
        <f aca="false">AVERAGEIF(B7:B20,"Quality",D7:D20)</f>
        <v>3.25</v>
      </c>
    </row>
    <row r="23" customFormat="false" ht="15" hidden="false" customHeight="false" outlineLevel="0" collapsed="false">
      <c r="A23" s="42" t="s">
        <v>199</v>
      </c>
      <c r="B23" s="54" t="n">
        <f aca="false">AVERAGEIF(B7:B20,"Timeline",D7:D20)</f>
        <v>3</v>
      </c>
    </row>
    <row r="24" customFormat="false" ht="15" hidden="false" customHeight="false" outlineLevel="0" collapsed="false">
      <c r="A24" s="42" t="s">
        <v>200</v>
      </c>
      <c r="B24" s="54" t="n">
        <f aca="false">AVERAGEIF(B7:B20,"Relationship",D7:D20)</f>
        <v>3</v>
      </c>
    </row>
    <row r="25" customFormat="false" ht="15" hidden="false" customHeight="false" outlineLevel="0" collapsed="false">
      <c r="A25" s="42" t="s">
        <v>201</v>
      </c>
      <c r="B25" s="55" t="n">
        <f aca="false">B22*0.35+B23*0.35+B24*0.3</f>
        <v>3.0875</v>
      </c>
    </row>
    <row r="26" customFormat="false" ht="15" hidden="false" customHeight="false" outlineLevel="0" collapsed="false">
      <c r="A26" s="42" t="s">
        <v>202</v>
      </c>
      <c r="B26" s="42" t="str">
        <f aca="false">IF(B25&gt;4.99,"Exceptional",IF(B25&gt;3.99,"Exceed Expectation",IF(B25&gt;=2.99,"Meet Expectation",IF(B25&gt;1.9,"Below Expectation","Unsatisfactory"))))</f>
        <v>Meet Expectation</v>
      </c>
    </row>
    <row r="28" customFormat="false" ht="15" hidden="false" customHeight="false" outlineLevel="0" collapsed="false">
      <c r="A28" s="56" t="s">
        <v>203</v>
      </c>
    </row>
    <row r="29" customFormat="false" ht="15" hidden="false" customHeight="false" outlineLevel="0" collapsed="false">
      <c r="A29" s="38" t="s">
        <v>204</v>
      </c>
      <c r="B29" s="57" t="str">
        <f aca="false">'RAW DATA Q2 - 2'!FP7</f>
        <v>Yes</v>
      </c>
    </row>
    <row r="30" customFormat="false" ht="15" hidden="false" customHeight="false" outlineLevel="0" collapsed="false">
      <c r="A30" s="38" t="s">
        <v>205</v>
      </c>
      <c r="B30" s="57" t="str">
        <f aca="false">'RAW DATA Q2 - 2'!FQ7</f>
        <v>Yes</v>
      </c>
    </row>
    <row r="31" customFormat="false" ht="41.75" hidden="false" customHeight="false" outlineLevel="0" collapsed="false">
      <c r="A31" s="38" t="s">
        <v>206</v>
      </c>
      <c r="B31" s="57" t="str">
        <f aca="false">'RAW DATA Q2 - 2'!FR7</f>
        <v>Yes, DPIA completed and there are actions to be done by Project Owner</v>
      </c>
    </row>
    <row r="32" customFormat="false" ht="15" hidden="false" customHeight="false" outlineLevel="0" collapsed="false">
      <c r="A32" s="38" t="s">
        <v>207</v>
      </c>
      <c r="B32" s="57" t="str">
        <f aca="false">'RAW DATA Q2 - 2'!FS7</f>
        <v>Yes, DPSQ completed</v>
      </c>
    </row>
    <row r="33" customFormat="false" ht="41.75" hidden="false" customHeight="false" outlineLevel="0" collapsed="false">
      <c r="A33" s="38" t="s">
        <v>208</v>
      </c>
      <c r="B33" s="57" t="str">
        <f aca="false">'RAW DATA Q2 - 2'!FT7</f>
        <v>Yes, VSDDT completed and there are actions to be done by supplier</v>
      </c>
    </row>
    <row r="34" customFormat="false" ht="28.35" hidden="false" customHeight="false" outlineLevel="0" collapsed="false">
      <c r="A34" s="38" t="s">
        <v>209</v>
      </c>
      <c r="B34" s="57" t="str">
        <f aca="false">'RAW DATA Q2 - 2'!FU7</f>
        <v>No – No action items were required</v>
      </c>
    </row>
    <row r="36" customFormat="false" ht="15" hidden="false" customHeight="false" outlineLevel="0" collapsed="false">
      <c r="A36" s="56" t="s">
        <v>74</v>
      </c>
    </row>
    <row r="37" customFormat="false" ht="15" hidden="false" customHeight="false" outlineLevel="0" collapsed="false">
      <c r="B37" s="58" t="str">
        <f aca="false">'RAW DATA Q2 - 2'!FV7</f>
        <v>To ensure a smooth process, we need to move faster and maintain effective communication</v>
      </c>
      <c r="C37" s="58"/>
      <c r="D37" s="58"/>
    </row>
  </sheetData>
  <mergeCells count="2">
    <mergeCell ref="A1:D1"/>
    <mergeCell ref="B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124</v>
      </c>
    </row>
    <row r="3" customFormat="false" ht="15" hidden="false" customHeight="false" outlineLevel="0" collapsed="false">
      <c r="A3" s="42" t="s">
        <v>56</v>
      </c>
      <c r="B3" s="38" t="s">
        <v>125</v>
      </c>
    </row>
    <row r="4" customFormat="false" ht="15" hidden="false" customHeight="false" outlineLevel="0" collapsed="false">
      <c r="A4" s="42" t="s">
        <v>191</v>
      </c>
      <c r="B4" s="38" t="s">
        <v>182</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Q2 - 2'!CF$1</f>
        <v>The ARSI system (Inbound &amp; Outbound) works properly and is ready to use as promised</v>
      </c>
      <c r="D7" s="47" t="n">
        <f aca="false">'RAW DATA Q2 - 2'!CF3</f>
        <v>4</v>
      </c>
    </row>
    <row r="8" customFormat="false" ht="26.85" hidden="false" customHeight="false" outlineLevel="0" collapsed="false">
      <c r="A8" s="45" t="n">
        <v>2</v>
      </c>
      <c r="B8" s="45" t="s">
        <v>195</v>
      </c>
      <c r="C8" s="46" t="str">
        <f aca="false">'RAW DATA Q2 - 2'!CG$1</f>
        <v>The work delivered by KPSG reflects a high level of professionalism and expertise</v>
      </c>
      <c r="D8" s="47" t="n">
        <f aca="false">'RAW DATA Q2 - 2'!CG3</f>
        <v>3</v>
      </c>
    </row>
    <row r="9" customFormat="false" ht="26.85" hidden="false" customHeight="false" outlineLevel="0" collapsed="false">
      <c r="A9" s="45" t="n">
        <v>3</v>
      </c>
      <c r="B9" s="45" t="s">
        <v>195</v>
      </c>
      <c r="C9" s="46" t="str">
        <f aca="false">'RAW DATA Q2 - 2'!CH$1</f>
        <v>The integration with our other systems runs smoothly
</v>
      </c>
      <c r="D9" s="47" t="n">
        <f aca="false">'RAW DATA Q2 - 2'!CH3</f>
        <v>2</v>
      </c>
    </row>
    <row r="10" customFormat="false" ht="26.85" hidden="false" customHeight="false" outlineLevel="0" collapsed="false">
      <c r="A10" s="45" t="n">
        <v>4</v>
      </c>
      <c r="B10" s="45" t="s">
        <v>195</v>
      </c>
      <c r="C10" s="46" t="str">
        <f aca="false">'RAW DATA Q2 - 2'!CI$1</f>
        <v>The features provided work as expected
</v>
      </c>
      <c r="D10" s="47" t="n">
        <f aca="false">'RAW DATA Q2 - 2'!CI3</f>
        <v>3</v>
      </c>
    </row>
    <row r="11" customFormat="false" ht="39.55" hidden="false" customHeight="false" outlineLevel="0" collapsed="false">
      <c r="A11" s="45" t="n">
        <v>5</v>
      </c>
      <c r="B11" s="45" t="s">
        <v>195</v>
      </c>
      <c r="C11" s="46" t="str">
        <f aca="false">'RAW DATA Q2 - 2'!CJ$1</f>
        <v>Bugs or errors in the system are rare, and when they occur, they are fixed properly
</v>
      </c>
      <c r="D11" s="47" t="n">
        <f aca="false">'RAW DATA Q2 - 2'!CJ3</f>
        <v>3</v>
      </c>
    </row>
    <row r="12" customFormat="false" ht="26.85" hidden="false" customHeight="false" outlineLevel="0" collapsed="false">
      <c r="A12" s="45" t="n">
        <v>6</v>
      </c>
      <c r="B12" s="45" t="s">
        <v>195</v>
      </c>
      <c r="C12" s="46" t="str">
        <f aca="false">'RAW DATA Q2 - 2'!CK$1</f>
        <v>Project documents are complete and clear
</v>
      </c>
      <c r="D12" s="47" t="n">
        <f aca="false">'RAW DATA Q2 - 2'!CK3</f>
        <v>3</v>
      </c>
    </row>
    <row r="13" customFormat="false" ht="26.85" hidden="false" customHeight="false" outlineLevel="0" collapsed="false">
      <c r="A13" s="45" t="n">
        <v>7</v>
      </c>
      <c r="B13" s="45" t="s">
        <v>195</v>
      </c>
      <c r="C13" s="46" t="str">
        <f aca="false">'RAW DATA Q2 - 2'!CL$1</f>
        <v>Regular reports provided by KPSG are accurate and easy to understand
</v>
      </c>
      <c r="D13" s="47" t="n">
        <f aca="false">'RAW DATA Q2 - 2'!CL3</f>
        <v>4</v>
      </c>
    </row>
    <row r="14" customFormat="false" ht="39.55" hidden="false" customHeight="false" outlineLevel="0" collapsed="false">
      <c r="A14" s="45" t="n">
        <v>8</v>
      </c>
      <c r="B14" s="45" t="s">
        <v>195</v>
      </c>
      <c r="C14" s="46" t="str">
        <f aca="false">'RAW DATA Q2 - 2'!CM$1</f>
        <v>KPSG responds well and cooperatively when we raise complaints or request improvements
</v>
      </c>
      <c r="D14" s="47" t="n">
        <f aca="false">'RAW DATA Q2 - 2'!CM3</f>
        <v>4</v>
      </c>
    </row>
    <row r="15" customFormat="false" ht="26.85" hidden="false" customHeight="false" outlineLevel="0" collapsed="false">
      <c r="A15" s="45" t="n">
        <v>9</v>
      </c>
      <c r="B15" s="45" t="s">
        <v>195</v>
      </c>
      <c r="C15" s="46" t="str">
        <f aca="false">'RAW DATA Q2 - 2'!CN$1</f>
        <v>Our data and information are kept secure while using KPSG's system
</v>
      </c>
      <c r="D15" s="47" t="n">
        <f aca="false">'RAW DATA Q2 - 2'!CN3</f>
        <v>4</v>
      </c>
    </row>
    <row r="16" customFormat="false" ht="26.85" hidden="false" customHeight="false" outlineLevel="0" collapsed="false">
      <c r="A16" s="45" t="n">
        <v>10</v>
      </c>
      <c r="B16" s="45" t="s">
        <v>195</v>
      </c>
      <c r="C16" s="46" t="str">
        <f aca="false">'RAW DATA Q2 - 2'!CO$1</f>
        <v>Overall, the quality of KPSG's service meets our expectations
</v>
      </c>
      <c r="D16" s="47" t="n">
        <f aca="false">'RAW DATA Q2 - 2'!CO3</f>
        <v>3</v>
      </c>
    </row>
    <row r="17" customFormat="false" ht="39.55" hidden="false" customHeight="false" outlineLevel="0" collapsed="false">
      <c r="A17" s="48" t="n">
        <v>11</v>
      </c>
      <c r="B17" s="48" t="s">
        <v>196</v>
      </c>
      <c r="C17" s="49" t="str">
        <f aca="false">'RAW DATA Q2 - 2'!EC$1</f>
        <v>KPSG's support team is available during agreed service hours (Mon–Fri, 09:00–18:00), with on-call support outside these hours when needed
</v>
      </c>
      <c r="D17" s="50" t="n">
        <f aca="false">'RAW DATA Q2 - 2'!EC3</f>
        <v>4</v>
      </c>
    </row>
    <row r="18" customFormat="false" ht="26.85" hidden="false" customHeight="false" outlineLevel="0" collapsed="false">
      <c r="A18" s="45" t="n">
        <v>12</v>
      </c>
      <c r="B18" s="45" t="s">
        <v>195</v>
      </c>
      <c r="C18" s="46" t="str">
        <f aca="false">'RAW DATA Q2 - 2'!ED$1</f>
        <v>The system is available at least 99% of the time, with minimal downtime
</v>
      </c>
      <c r="D18" s="47" t="n">
        <f aca="false">'RAW DATA Q2 - 2'!ED3</f>
        <v>4</v>
      </c>
    </row>
    <row r="19" customFormat="false" ht="39.55" hidden="false" customHeight="false" outlineLevel="0" collapsed="false">
      <c r="A19" s="48" t="n">
        <v>13</v>
      </c>
      <c r="B19" s="48" t="s">
        <v>196</v>
      </c>
      <c r="C19" s="49" t="str">
        <f aca="false">'RAW DATA Q2 - 2'!EE$1</f>
        <v>KPSG responds to our service requests within 1 hour during normal working hours
</v>
      </c>
      <c r="D19" s="50" t="n">
        <f aca="false">'RAW DATA Q2 - 2'!EE3</f>
        <v>3</v>
      </c>
    </row>
    <row r="20" customFormat="false" ht="26.85" hidden="false" customHeight="false" outlineLevel="0" collapsed="false">
      <c r="A20" s="48" t="n">
        <v>14</v>
      </c>
      <c r="B20" s="48" t="s">
        <v>196</v>
      </c>
      <c r="C20" s="49" t="str">
        <f aca="false">'RAW DATA Q2 - 2'!EF$1</f>
        <v>Issues are resolved within the agreed timeframe based on impact level
</v>
      </c>
      <c r="D20" s="50" t="n">
        <f aca="false">'RAW DATA Q2 - 2'!EF3</f>
        <v>2</v>
      </c>
    </row>
    <row r="21" customFormat="false" ht="26.85" hidden="false" customHeight="false" outlineLevel="0" collapsed="false">
      <c r="A21" s="45" t="n">
        <v>15</v>
      </c>
      <c r="B21" s="45" t="s">
        <v>195</v>
      </c>
      <c r="C21" s="46" t="str">
        <f aca="false">'RAW DATA Q2 - 2'!EG$1</f>
        <v>How would you rate the Data Back Up processing
</v>
      </c>
      <c r="D21" s="47" t="n">
        <f aca="false">'RAW DATA Q2 - 2'!EG3</f>
        <v>4</v>
      </c>
    </row>
    <row r="22" customFormat="false" ht="26.85" hidden="false" customHeight="false" outlineLevel="0" collapsed="false">
      <c r="A22" s="48" t="n">
        <v>16</v>
      </c>
      <c r="B22" s="48" t="s">
        <v>196</v>
      </c>
      <c r="C22" s="49" t="str">
        <f aca="false">'RAW DATA Q2 - 2'!EH$1</f>
        <v>Project milestones are completed on the agreed dates
</v>
      </c>
      <c r="D22" s="50" t="n">
        <f aca="false">'RAW DATA Q2 - 2'!EH3</f>
        <v>2</v>
      </c>
    </row>
    <row r="23" customFormat="false" ht="26.85" hidden="false" customHeight="false" outlineLevel="0" collapsed="false">
      <c r="A23" s="48" t="n">
        <v>17</v>
      </c>
      <c r="B23" s="48" t="s">
        <v>196</v>
      </c>
      <c r="C23" s="49" t="str">
        <f aca="false">'RAW DATA Q2 - 2'!EI$1</f>
        <v>KPSG gives us early warning if there's a risk of delay in any deliverable
</v>
      </c>
      <c r="D23" s="50" t="n">
        <f aca="false">'RAW DATA Q2 - 2'!EI3</f>
        <v>3</v>
      </c>
    </row>
    <row r="24" customFormat="false" ht="26.85" hidden="false" customHeight="false" outlineLevel="0" collapsed="false">
      <c r="A24" s="48" t="n">
        <v>18</v>
      </c>
      <c r="B24" s="48" t="s">
        <v>196</v>
      </c>
      <c r="C24" s="49" t="str">
        <f aca="false">'RAW DATA Q2 - 2'!EJ$1</f>
        <v>Monthly and weekly reports are submitted on time 
</v>
      </c>
      <c r="D24" s="50" t="n">
        <f aca="false">'RAW DATA Q2 - 2'!EJ3</f>
        <v>4</v>
      </c>
    </row>
    <row r="25" customFormat="false" ht="26.85" hidden="false" customHeight="false" outlineLevel="0" collapsed="false">
      <c r="A25" s="48" t="n">
        <v>19</v>
      </c>
      <c r="B25" s="48" t="s">
        <v>196</v>
      </c>
      <c r="C25" s="49" t="str">
        <f aca="false">'RAW DATA Q2 - 2'!EK$1</f>
        <v>Any cybersecurity incidents are reported to us within 4 hours of detection
</v>
      </c>
      <c r="D25" s="50" t="n">
        <f aca="false">'RAW DATA Q2 - 2'!EK3</f>
        <v>3</v>
      </c>
    </row>
    <row r="26" customFormat="false" ht="39.55" hidden="false" customHeight="false" outlineLevel="0" collapsed="false">
      <c r="A26" s="48" t="n">
        <v>20</v>
      </c>
      <c r="B26" s="48" t="s">
        <v>196</v>
      </c>
      <c r="C26" s="49" t="str">
        <f aca="false">'RAW DATA Q2 - 2'!EL$1</f>
        <v>Requests for system changes are followed up and completed within the agreed timeline
</v>
      </c>
      <c r="D26" s="50" t="n">
        <f aca="false">'RAW DATA Q2 - 2'!EL3</f>
        <v>3</v>
      </c>
    </row>
    <row r="27" customFormat="false" ht="15" hidden="false" customHeight="false" outlineLevel="0" collapsed="false">
      <c r="A27" s="51" t="n">
        <v>21</v>
      </c>
      <c r="B27" s="51" t="s">
        <v>197</v>
      </c>
      <c r="C27" s="52" t="str">
        <f aca="false">'RAW DATA Q2 - 2'!FM$1</f>
        <v>How would you rate the supplier's communication with you?</v>
      </c>
      <c r="D27" s="53" t="n">
        <f aca="false">'RAW DATA Q2 - 2'!FM3</f>
        <v>4</v>
      </c>
    </row>
    <row r="28" customFormat="false" ht="26.85" hidden="false" customHeight="false" outlineLevel="0" collapsed="false">
      <c r="A28" s="51" t="n">
        <v>22</v>
      </c>
      <c r="B28" s="51" t="s">
        <v>197</v>
      </c>
      <c r="C28" s="52" t="str">
        <f aca="false">'RAW DATA Q2 - 2'!FN$1</f>
        <v>How would you rate the supplier's PIC's availability to be contacted when needed?</v>
      </c>
      <c r="D28" s="53" t="n">
        <f aca="false">'RAW DATA Q2 - 2'!FN3</f>
        <v>4</v>
      </c>
    </row>
    <row r="29" customFormat="false" ht="39.55" hidden="false" customHeight="false" outlineLevel="0" collapsed="false">
      <c r="A29" s="51" t="n">
        <v>23</v>
      </c>
      <c r="B29" s="51" t="s">
        <v>197</v>
      </c>
      <c r="C29" s="52" t="str">
        <f aca="false">'RAW DATA Q2 - 2'!FO$1</f>
        <v>How would you rate the supplier's response speed to you when there are issues?
</v>
      </c>
      <c r="D29" s="53" t="n">
        <f aca="false">'RAW DATA Q2 - 2'!FO3</f>
        <v>4</v>
      </c>
    </row>
    <row r="31" customFormat="false" ht="15" hidden="false" customHeight="false" outlineLevel="0" collapsed="false">
      <c r="A31" s="42" t="s">
        <v>198</v>
      </c>
      <c r="B31" s="54" t="n">
        <f aca="false">AVERAGEIF(B7:B29,"Quality",D7:D29)</f>
        <v>3.41666666666667</v>
      </c>
    </row>
    <row r="32" customFormat="false" ht="15" hidden="false" customHeight="false" outlineLevel="0" collapsed="false">
      <c r="A32" s="42" t="s">
        <v>199</v>
      </c>
      <c r="B32" s="54" t="n">
        <f aca="false">AVERAGEIF(B7:B29,"Timeline",D7:D29)</f>
        <v>3</v>
      </c>
    </row>
    <row r="33" customFormat="false" ht="15" hidden="false" customHeight="false" outlineLevel="0" collapsed="false">
      <c r="A33" s="42" t="s">
        <v>200</v>
      </c>
      <c r="B33" s="54" t="n">
        <f aca="false">AVERAGEIF(B7:B29,"Relationship",D7:D29)</f>
        <v>4</v>
      </c>
    </row>
    <row r="34" customFormat="false" ht="15" hidden="false" customHeight="false" outlineLevel="0" collapsed="false">
      <c r="A34" s="42" t="s">
        <v>201</v>
      </c>
      <c r="B34" s="55" t="n">
        <f aca="false">B31*0.35+B32*0.35+B33*0.3</f>
        <v>3.44583333333333</v>
      </c>
    </row>
    <row r="35" customFormat="false" ht="15" hidden="false" customHeight="false" outlineLevel="0" collapsed="false">
      <c r="A35" s="42" t="s">
        <v>202</v>
      </c>
      <c r="B35" s="42" t="str">
        <f aca="false">IF(B34&gt;4.99,"Exceptional",IF(B34&gt;3.99,"Exceed Expectation",IF(B34&gt;=2.99,"Meet Expectation",IF(B34&gt;1.9,"Below Expectation","Unsatisfactory"))))</f>
        <v>Meet Expectation</v>
      </c>
    </row>
    <row r="37" customFormat="false" ht="15" hidden="false" customHeight="false" outlineLevel="0" collapsed="false">
      <c r="A37" s="56" t="s">
        <v>203</v>
      </c>
    </row>
    <row r="38" customFormat="false" ht="15" hidden="false" customHeight="false" outlineLevel="0" collapsed="false">
      <c r="A38" s="38" t="s">
        <v>204</v>
      </c>
      <c r="B38" s="57" t="str">
        <f aca="false">'RAW DATA Q2 - 2'!FP3</f>
        <v>Yes</v>
      </c>
    </row>
    <row r="39" customFormat="false" ht="15" hidden="false" customHeight="false" outlineLevel="0" collapsed="false">
      <c r="A39" s="38" t="s">
        <v>205</v>
      </c>
      <c r="B39" s="57" t="str">
        <f aca="false">'RAW DATA Q2 - 2'!FQ3</f>
        <v>Yes</v>
      </c>
    </row>
    <row r="40" customFormat="false" ht="41.75" hidden="false" customHeight="false" outlineLevel="0" collapsed="false">
      <c r="A40" s="38" t="s">
        <v>206</v>
      </c>
      <c r="B40" s="57" t="str">
        <f aca="false">'RAW DATA Q2 - 2'!FR3</f>
        <v>Yes, DPIA completed and there are actions to be done by Project Owner</v>
      </c>
    </row>
    <row r="41" customFormat="false" ht="28.35" hidden="false" customHeight="false" outlineLevel="0" collapsed="false">
      <c r="A41" s="38" t="s">
        <v>207</v>
      </c>
      <c r="B41" s="57" t="str">
        <f aca="false">'RAW DATA Q2 - 2'!FS3</f>
        <v>Yes, DPSQ not completed yet</v>
      </c>
    </row>
    <row r="42" customFormat="false" ht="41.75" hidden="false" customHeight="false" outlineLevel="0" collapsed="false">
      <c r="A42" s="38" t="s">
        <v>208</v>
      </c>
      <c r="B42" s="57" t="str">
        <f aca="false">'RAW DATA Q2 - 2'!FT3</f>
        <v>Yes, VSDDT completed and there are actions to be done by supplier</v>
      </c>
    </row>
    <row r="43" customFormat="false" ht="68.65" hidden="false" customHeight="false" outlineLevel="0" collapsed="false">
      <c r="A43" s="38" t="s">
        <v>209</v>
      </c>
      <c r="B43" s="57" t="str">
        <f aca="false">'RAW DATA Q2 - 2'!FU3</f>
        <v>Yes – Action items identified, but follow‑up and coordination with relevant SME is still required</v>
      </c>
    </row>
    <row r="45" customFormat="false" ht="15" hidden="false" customHeight="false" outlineLevel="0" collapsed="false">
      <c r="A45" s="56" t="s">
        <v>74</v>
      </c>
    </row>
    <row r="46" customFormat="false" ht="243.25" hidden="false" customHeight="false" outlineLevel="0" collapsed="false">
      <c r="B46" s="58" t="str">
        <f aca="false">'RAW DATA Q2 - 2'!FV3</f>
        <v>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v>
      </c>
      <c r="C46" s="58"/>
      <c r="D46" s="58"/>
    </row>
  </sheetData>
  <mergeCells count="2">
    <mergeCell ref="A1:D1"/>
    <mergeCell ref="B46:D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126</v>
      </c>
    </row>
    <row r="3" customFormat="false" ht="15" hidden="false" customHeight="false" outlineLevel="0" collapsed="false">
      <c r="A3" s="42" t="s">
        <v>56</v>
      </c>
      <c r="B3" s="38" t="s">
        <v>125</v>
      </c>
    </row>
    <row r="4" customFormat="false" ht="15" hidden="false" customHeight="false" outlineLevel="0" collapsed="false">
      <c r="A4" s="42" t="s">
        <v>191</v>
      </c>
      <c r="B4" s="38" t="s">
        <v>182</v>
      </c>
    </row>
    <row r="6" customFormat="false" ht="15" hidden="false" customHeight="false" outlineLevel="0" collapsed="false">
      <c r="A6" s="43" t="s">
        <v>78</v>
      </c>
      <c r="B6" s="43" t="s">
        <v>192</v>
      </c>
      <c r="C6" s="44" t="s">
        <v>193</v>
      </c>
      <c r="D6" s="43" t="s">
        <v>194</v>
      </c>
    </row>
    <row r="7" customFormat="false" ht="15" hidden="false" customHeight="false" outlineLevel="0" collapsed="false">
      <c r="A7" s="45" t="n">
        <v>1</v>
      </c>
      <c r="B7" s="45" t="s">
        <v>195</v>
      </c>
      <c r="C7" s="46" t="str">
        <f aca="false">'RAW DATA Q2 - 2'!CZ$1</f>
        <v>The delivered solution met all agreed functional requirements</v>
      </c>
      <c r="D7" s="47" t="n">
        <f aca="false">'RAW DATA Q2 - 2'!CZ4</f>
        <v>4</v>
      </c>
    </row>
    <row r="8" customFormat="false" ht="26.85" hidden="false" customHeight="false" outlineLevel="0" collapsed="false">
      <c r="A8" s="45" t="n">
        <v>2</v>
      </c>
      <c r="B8" s="45" t="s">
        <v>195</v>
      </c>
      <c r="C8" s="46" t="str">
        <f aca="false">'RAW DATA Q2 - 2'!DA$1</f>
        <v>The system passed User Acceptance Testing (UAT) with minimal critical issues or rework needed</v>
      </c>
      <c r="D8" s="47" t="n">
        <f aca="false">'RAW DATA Q2 - 2'!DA4</f>
        <v>4</v>
      </c>
    </row>
    <row r="9" customFormat="false" ht="39.55" hidden="false" customHeight="false" outlineLevel="0" collapsed="false">
      <c r="A9" s="48" t="n">
        <v>3</v>
      </c>
      <c r="B9" s="48" t="s">
        <v>196</v>
      </c>
      <c r="C9" s="49" t="str">
        <f aca="false">'RAW DATA Q2 - 2'!DB$1</f>
        <v>Call recordings were accessible and properly linked within the agreed retention period
</v>
      </c>
      <c r="D9" s="50" t="n">
        <f aca="false">'RAW DATA Q2 - 2'!DB4</f>
        <v>4</v>
      </c>
    </row>
    <row r="10" customFormat="false" ht="39.55" hidden="false" customHeight="false" outlineLevel="0" collapsed="false">
      <c r="A10" s="45" t="n">
        <v>4</v>
      </c>
      <c r="B10" s="45" t="s">
        <v>195</v>
      </c>
      <c r="C10" s="46" t="str">
        <f aca="false">'RAW DATA Q2 - 2'!DC$1</f>
        <v>Reports and dashboards were accurate and matched AXA’s required format
</v>
      </c>
      <c r="D10" s="47" t="n">
        <f aca="false">'RAW DATA Q2 - 2'!DC4</f>
        <v>4</v>
      </c>
    </row>
    <row r="11" customFormat="false" ht="39.55" hidden="false" customHeight="false" outlineLevel="0" collapsed="false">
      <c r="A11" s="45" t="n">
        <v>5</v>
      </c>
      <c r="B11" s="45" t="s">
        <v>195</v>
      </c>
      <c r="C11" s="46" t="str">
        <f aca="false">'RAW DATA Q2 - 2'!DD$1</f>
        <v>Defects or bugs found during the warranty period were minimal and resolved promptly at no extra cost
</v>
      </c>
      <c r="D11" s="47" t="n">
        <f aca="false">'RAW DATA Q2 - 2'!DD4</f>
        <v>4</v>
      </c>
    </row>
    <row r="12" customFormat="false" ht="26.85" hidden="false" customHeight="false" outlineLevel="0" collapsed="false">
      <c r="A12" s="48" t="n">
        <v>6</v>
      </c>
      <c r="B12" s="48" t="s">
        <v>196</v>
      </c>
      <c r="C12" s="49" t="str">
        <f aca="false">'RAW DATA Q2 - 2'!DE$1</f>
        <v>Project documentation was complete, accurate, and submitted on time
</v>
      </c>
      <c r="D12" s="50" t="n">
        <f aca="false">'RAW DATA Q2 - 2'!DE4</f>
        <v>4</v>
      </c>
    </row>
    <row r="13" customFormat="false" ht="39.55" hidden="false" customHeight="false" outlineLevel="0" collapsed="false">
      <c r="A13" s="45" t="n">
        <v>7</v>
      </c>
      <c r="B13" s="45" t="s">
        <v>195</v>
      </c>
      <c r="C13" s="46" t="str">
        <f aca="false">'RAW DATA Q2 - 2'!DF$1</f>
        <v>Training provided was clear and sufficient for AXA’s team to operate independently
</v>
      </c>
      <c r="D13" s="47" t="n">
        <f aca="false">'RAW DATA Q2 - 2'!DF4</f>
        <v>2</v>
      </c>
    </row>
    <row r="14" customFormat="false" ht="39.55" hidden="false" customHeight="false" outlineLevel="0" collapsed="false">
      <c r="A14" s="45" t="n">
        <v>8</v>
      </c>
      <c r="B14" s="45" t="s">
        <v>195</v>
      </c>
      <c r="C14" s="46" t="str">
        <f aca="false">'RAW DATA Q2 - 2'!DG$1</f>
        <v>Overall, the quality of supplier work on the purecloud decommisioning project meets our expectations
</v>
      </c>
      <c r="D14" s="47" t="n">
        <f aca="false">'RAW DATA Q2 - 2'!DG4</f>
        <v>4</v>
      </c>
    </row>
    <row r="15" customFormat="false" ht="26.85" hidden="false" customHeight="false" outlineLevel="0" collapsed="false">
      <c r="A15" s="48" t="n">
        <v>9</v>
      </c>
      <c r="B15" s="48" t="s">
        <v>196</v>
      </c>
      <c r="C15" s="49" t="str">
        <f aca="false">'RAW DATA Q2 - 2'!EW$1</f>
        <v>The Planning &amp; Architecture phase was completed on schedule
</v>
      </c>
      <c r="D15" s="50" t="n">
        <f aca="false">'RAW DATA Q2 - 2'!EW4</f>
        <v>4</v>
      </c>
    </row>
    <row r="16" customFormat="false" ht="26.85" hidden="false" customHeight="false" outlineLevel="0" collapsed="false">
      <c r="A16" s="48" t="n">
        <v>10</v>
      </c>
      <c r="B16" s="48" t="s">
        <v>196</v>
      </c>
      <c r="C16" s="49" t="str">
        <f aca="false">'RAW DATA Q2 - 2'!EX$1</f>
        <v>The Build/Construction phase was completed on schedule
</v>
      </c>
      <c r="D16" s="50" t="n">
        <f aca="false">'RAW DATA Q2 - 2'!EX4</f>
        <v>4</v>
      </c>
    </row>
    <row r="17" customFormat="false" ht="26.85" hidden="false" customHeight="false" outlineLevel="0" collapsed="false">
      <c r="A17" s="48" t="n">
        <v>11</v>
      </c>
      <c r="B17" s="48" t="s">
        <v>196</v>
      </c>
      <c r="C17" s="49" t="str">
        <f aca="false">'RAW DATA Q2 - 2'!EY$1</f>
        <v>The Validation/UAT phase was completed on schedule
</v>
      </c>
      <c r="D17" s="50" t="n">
        <f aca="false">'RAW DATA Q2 - 2'!EY4</f>
        <v>4</v>
      </c>
    </row>
    <row r="18" customFormat="false" ht="26.85" hidden="false" customHeight="false" outlineLevel="0" collapsed="false">
      <c r="A18" s="48" t="n">
        <v>12</v>
      </c>
      <c r="B18" s="48" t="s">
        <v>196</v>
      </c>
      <c r="C18" s="49" t="str">
        <f aca="false">'RAW DATA Q2 - 2'!EZ$1</f>
        <v>The Deployment &amp; Go-Live phase was completed on schedule
</v>
      </c>
      <c r="D18" s="50" t="n">
        <f aca="false">'RAW DATA Q2 - 2'!EZ4</f>
        <v>4</v>
      </c>
    </row>
    <row r="19" customFormat="false" ht="39.55" hidden="false" customHeight="false" outlineLevel="0" collapsed="false">
      <c r="A19" s="48" t="n">
        <v>13</v>
      </c>
      <c r="B19" s="48" t="s">
        <v>196</v>
      </c>
      <c r="C19" s="49" t="str">
        <f aca="false">'RAW DATA Q2 - 2'!FA$1</f>
        <v>The supplier responded to reported issues within the agreed response time
</v>
      </c>
      <c r="D19" s="50" t="n">
        <f aca="false">'RAW DATA Q2 - 2'!FA4</f>
        <v>4</v>
      </c>
    </row>
    <row r="20" customFormat="false" ht="26.85" hidden="false" customHeight="false" outlineLevel="0" collapsed="false">
      <c r="A20" s="48" t="n">
        <v>14</v>
      </c>
      <c r="B20" s="48" t="s">
        <v>196</v>
      </c>
      <c r="C20" s="49" t="str">
        <f aca="false">'RAW DATA Q2 - 2'!FB$1</f>
        <v>The supplier resolved reported issues within the agreed resolution time
</v>
      </c>
      <c r="D20" s="50" t="n">
        <f aca="false">'RAW DATA Q2 - 2'!FB4</f>
        <v>4</v>
      </c>
    </row>
    <row r="21" customFormat="false" ht="39.55" hidden="false" customHeight="false" outlineLevel="0" collapsed="false">
      <c r="A21" s="48" t="n">
        <v>15</v>
      </c>
      <c r="B21" s="48" t="s">
        <v>196</v>
      </c>
      <c r="C21" s="49" t="str">
        <f aca="false">'RAW DATA Q2 - 2'!FC$1</f>
        <v>The project was completed without delays requiring AXA to invoke late penalties
</v>
      </c>
      <c r="D21" s="50" t="n">
        <f aca="false">'RAW DATA Q2 - 2'!FC4</f>
        <v>4</v>
      </c>
    </row>
    <row r="22" customFormat="false" ht="39.55" hidden="false" customHeight="false" outlineLevel="0" collapsed="false">
      <c r="A22" s="48" t="n">
        <v>16</v>
      </c>
      <c r="B22" s="48" t="s">
        <v>196</v>
      </c>
      <c r="C22" s="49" t="str">
        <f aca="false">'RAW DATA Q2 - 2'!FD$1</f>
        <v>The supplier proactively communicated whenever a milestone was at risk of delay
</v>
      </c>
      <c r="D22" s="50" t="n">
        <f aca="false">'RAW DATA Q2 - 2'!FD4</f>
        <v>4</v>
      </c>
    </row>
    <row r="23" customFormat="false" ht="15" hidden="false" customHeight="false" outlineLevel="0" collapsed="false">
      <c r="A23" s="51" t="n">
        <v>17</v>
      </c>
      <c r="B23" s="51" t="s">
        <v>197</v>
      </c>
      <c r="C23" s="52" t="str">
        <f aca="false">'RAW DATA Q2 - 2'!FM$1</f>
        <v>How would you rate the supplier's communication with you?</v>
      </c>
      <c r="D23" s="53" t="n">
        <f aca="false">'RAW DATA Q2 - 2'!FM4</f>
        <v>4</v>
      </c>
    </row>
    <row r="24" customFormat="false" ht="26.85" hidden="false" customHeight="false" outlineLevel="0" collapsed="false">
      <c r="A24" s="51" t="n">
        <v>18</v>
      </c>
      <c r="B24" s="51" t="s">
        <v>197</v>
      </c>
      <c r="C24" s="52" t="str">
        <f aca="false">'RAW DATA Q2 - 2'!FN$1</f>
        <v>How would you rate the supplier's PIC's availability to be contacted when needed?</v>
      </c>
      <c r="D24" s="53" t="n">
        <f aca="false">'RAW DATA Q2 - 2'!FN4</f>
        <v>4</v>
      </c>
    </row>
    <row r="25" customFormat="false" ht="39.55" hidden="false" customHeight="false" outlineLevel="0" collapsed="false">
      <c r="A25" s="51" t="n">
        <v>19</v>
      </c>
      <c r="B25" s="51" t="s">
        <v>197</v>
      </c>
      <c r="C25" s="52" t="str">
        <f aca="false">'RAW DATA Q2 - 2'!FO$1</f>
        <v>How would you rate the supplier's response speed to you when there are issues?
</v>
      </c>
      <c r="D25" s="53" t="n">
        <f aca="false">'RAW DATA Q2 - 2'!FO4</f>
        <v>4</v>
      </c>
    </row>
    <row r="27" customFormat="false" ht="15" hidden="false" customHeight="false" outlineLevel="0" collapsed="false">
      <c r="A27" s="42" t="s">
        <v>198</v>
      </c>
      <c r="B27" s="54" t="n">
        <f aca="false">AVERAGEIF(B7:B25,"Quality",D7:D25)</f>
        <v>3.66666666666667</v>
      </c>
    </row>
    <row r="28" customFormat="false" ht="15" hidden="false" customHeight="false" outlineLevel="0" collapsed="false">
      <c r="A28" s="42" t="s">
        <v>199</v>
      </c>
      <c r="B28" s="54" t="n">
        <f aca="false">AVERAGEIF(B7:B25,"Timeline",D7:D25)</f>
        <v>4</v>
      </c>
    </row>
    <row r="29" customFormat="false" ht="15" hidden="false" customHeight="false" outlineLevel="0" collapsed="false">
      <c r="A29" s="42" t="s">
        <v>200</v>
      </c>
      <c r="B29" s="54" t="n">
        <f aca="false">AVERAGEIF(B7:B25,"Relationship",D7:D25)</f>
        <v>4</v>
      </c>
    </row>
    <row r="30" customFormat="false" ht="15" hidden="false" customHeight="false" outlineLevel="0" collapsed="false">
      <c r="A30" s="42" t="s">
        <v>201</v>
      </c>
      <c r="B30" s="55" t="n">
        <f aca="false">B27*0.35+B28*0.35+B29*0.3</f>
        <v>3.88333333333333</v>
      </c>
    </row>
    <row r="31" customFormat="false" ht="15" hidden="false" customHeight="false" outlineLevel="0" collapsed="false">
      <c r="A31" s="42" t="s">
        <v>202</v>
      </c>
      <c r="B31" s="42" t="str">
        <f aca="false">IF(B30&gt;4.99,"Exceptional",IF(B30&gt;3.99,"Exceed Expectation",IF(B30&gt;=2.99,"Meet Expectation",IF(B30&gt;1.9,"Below Expectation","Unsatisfactory"))))</f>
        <v>Meet Expectation</v>
      </c>
    </row>
    <row r="33" customFormat="false" ht="15" hidden="false" customHeight="false" outlineLevel="0" collapsed="false">
      <c r="A33" s="56" t="s">
        <v>203</v>
      </c>
    </row>
    <row r="34" customFormat="false" ht="15" hidden="false" customHeight="false" outlineLevel="0" collapsed="false">
      <c r="A34" s="38" t="s">
        <v>204</v>
      </c>
      <c r="B34" s="57" t="str">
        <f aca="false">'RAW DATA Q2 - 2'!FP4</f>
        <v>Yes</v>
      </c>
    </row>
    <row r="35" customFormat="false" ht="15" hidden="false" customHeight="false" outlineLevel="0" collapsed="false">
      <c r="A35" s="38" t="s">
        <v>205</v>
      </c>
      <c r="B35" s="57" t="str">
        <f aca="false">'RAW DATA Q2 - 2'!FQ4</f>
        <v>Yes</v>
      </c>
    </row>
    <row r="36" customFormat="false" ht="41.75" hidden="false" customHeight="false" outlineLevel="0" collapsed="false">
      <c r="A36" s="38" t="s">
        <v>206</v>
      </c>
      <c r="B36" s="57" t="str">
        <f aca="false">'RAW DATA Q2 - 2'!FR4</f>
        <v>Yes, DPIA completed and there are actions to be done by Project Owner</v>
      </c>
    </row>
    <row r="37" customFormat="false" ht="15" hidden="false" customHeight="false" outlineLevel="0" collapsed="false">
      <c r="A37" s="38" t="s">
        <v>207</v>
      </c>
      <c r="B37" s="57" t="str">
        <f aca="false">'RAW DATA Q2 - 2'!FS4</f>
        <v>No Implementation</v>
      </c>
    </row>
    <row r="38" customFormat="false" ht="41.75" hidden="false" customHeight="false" outlineLevel="0" collapsed="false">
      <c r="A38" s="38" t="s">
        <v>208</v>
      </c>
      <c r="B38" s="57" t="str">
        <f aca="false">'RAW DATA Q2 - 2'!FT4</f>
        <v>Yes, VSDDT completed and there are actions to be done by supplier</v>
      </c>
    </row>
    <row r="39" customFormat="false" ht="68.65" hidden="false" customHeight="false" outlineLevel="0" collapsed="false">
      <c r="A39" s="38" t="s">
        <v>209</v>
      </c>
      <c r="B39" s="57" t="str">
        <f aca="false">'RAW DATA Q2 - 2'!FU4</f>
        <v>Yes – Action items identified, but follow‑up and coordination with relevant SME is still required</v>
      </c>
    </row>
    <row r="41" customFormat="false" ht="15" hidden="false" customHeight="false" outlineLevel="0" collapsed="false">
      <c r="A41" s="56" t="s">
        <v>74</v>
      </c>
    </row>
    <row r="42" customFormat="false" ht="135.8" hidden="false" customHeight="false" outlineLevel="0" collapsed="false">
      <c r="B42" s="58" t="str">
        <f aca="false">'RAW DATA Q2 - 2'!FV4</f>
        <v>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v>
      </c>
      <c r="C42" s="58"/>
      <c r="D42" s="58"/>
    </row>
  </sheetData>
  <mergeCells count="2">
    <mergeCell ref="A1:D1"/>
    <mergeCell ref="B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68"/>
    <col collapsed="false" customWidth="true" hidden="false" outlineLevel="0" max="4" min="4" style="0" width="12"/>
  </cols>
  <sheetData>
    <row r="1" customFormat="false" ht="16.15" hidden="false" customHeight="false" outlineLevel="0" collapsed="false">
      <c r="A1" s="29" t="s">
        <v>190</v>
      </c>
      <c r="B1" s="29"/>
      <c r="C1" s="29"/>
      <c r="D1" s="29"/>
    </row>
    <row r="2" customFormat="false" ht="15" hidden="false" customHeight="false" outlineLevel="0" collapsed="false">
      <c r="A2" s="42" t="s">
        <v>55</v>
      </c>
      <c r="B2" s="38" t="s">
        <v>127</v>
      </c>
    </row>
    <row r="3" customFormat="false" ht="15" hidden="false" customHeight="false" outlineLevel="0" collapsed="false">
      <c r="A3" s="42" t="s">
        <v>56</v>
      </c>
      <c r="B3" s="38" t="s">
        <v>128</v>
      </c>
    </row>
    <row r="4" customFormat="false" ht="15" hidden="false" customHeight="false" outlineLevel="0" collapsed="false">
      <c r="A4" s="42" t="s">
        <v>191</v>
      </c>
      <c r="B4" s="38" t="s">
        <v>184</v>
      </c>
    </row>
    <row r="6" customFormat="false" ht="15" hidden="false" customHeight="false" outlineLevel="0" collapsed="false">
      <c r="A6" s="43" t="s">
        <v>78</v>
      </c>
      <c r="B6" s="43" t="s">
        <v>192</v>
      </c>
      <c r="C6" s="44" t="s">
        <v>193</v>
      </c>
      <c r="D6" s="43" t="s">
        <v>194</v>
      </c>
    </row>
    <row r="7" customFormat="false" ht="26.85" hidden="false" customHeight="false" outlineLevel="0" collapsed="false">
      <c r="A7" s="45" t="n">
        <v>1</v>
      </c>
      <c r="B7" s="45" t="s">
        <v>195</v>
      </c>
      <c r="C7" s="46" t="str">
        <f aca="false">'RAW DATA Q2 - 2'!DH$1</f>
        <v>How would you rate the assessment tools &amp; results (Group Report &amp; Individual Report) for Talent Acquisition/Talent Management needs</v>
      </c>
      <c r="D7" s="47" t="n">
        <f aca="false">'RAW DATA Q2 - 2'!DH6</f>
        <v>4</v>
      </c>
    </row>
    <row r="8" customFormat="false" ht="39.55" hidden="false" customHeight="false" outlineLevel="0" collapsed="false">
      <c r="A8" s="45" t="n">
        <v>2</v>
      </c>
      <c r="B8" s="45" t="s">
        <v>195</v>
      </c>
      <c r="C8" s="46" t="str">
        <f aca="false">'RAW DATA Q2 - 2'!DI$1</f>
        <v>Assessment tools (Psychometric Test, Verbal/Numerical/Abstract Reasoning, Personality Questionnaire, Competency Based Interview, etc.) are relevant and appropriate to participants’ level/grade</v>
      </c>
      <c r="D8" s="47" t="n">
        <f aca="false">'RAW DATA Q2 - 2'!DI6</f>
        <v>4</v>
      </c>
    </row>
    <row r="9" customFormat="false" ht="39.55" hidden="false" customHeight="false" outlineLevel="0" collapsed="false">
      <c r="A9" s="48" t="n">
        <v>3</v>
      </c>
      <c r="B9" s="48" t="s">
        <v>196</v>
      </c>
      <c r="C9" s="49" t="str">
        <f aca="false">'RAW DATA Q2 - 2'!DJ$1</f>
        <v>Assessment sessions (online and offline) are conducted in an orderly, professional manner and according to the agreed schedule
</v>
      </c>
      <c r="D9" s="50" t="n">
        <f aca="false">'RAW DATA Q2 - 2'!DJ6</f>
        <v>5</v>
      </c>
    </row>
    <row r="10" customFormat="false" ht="52.2" hidden="false" customHeight="false" outlineLevel="0" collapsed="false">
      <c r="A10" s="45" t="n">
        <v>4</v>
      </c>
      <c r="B10" s="45" t="s">
        <v>195</v>
      </c>
      <c r="C10" s="46" t="str">
        <f aca="false">'RAW DATA Q2 - 2'!DK$1</f>
        <v>SHL maintains the confidentiality and security of assessment participants’ Personal Data in accordance with the privacy provisions in the Agreement
</v>
      </c>
      <c r="D10" s="47" t="n">
        <f aca="false">'RAW DATA Q2 - 2'!DK6</f>
        <v>5</v>
      </c>
    </row>
    <row r="11" customFormat="false" ht="39.55" hidden="false" customHeight="false" outlineLevel="0" collapsed="false">
      <c r="A11" s="45" t="n">
        <v>5</v>
      </c>
      <c r="B11" s="45" t="s">
        <v>195</v>
      </c>
      <c r="C11" s="46" t="str">
        <f aca="false">'RAW DATA Q2 - 2'!DL$1</f>
        <v>There are no administrative errors (participant data, grade, test type) throughout the process from Booking Form submission to report delivery
</v>
      </c>
      <c r="D11" s="47" t="n">
        <f aca="false">'RAW DATA Q2 - 2'!DL6</f>
        <v>4</v>
      </c>
    </row>
    <row r="12" customFormat="false" ht="39.55" hidden="false" customHeight="false" outlineLevel="0" collapsed="false">
      <c r="A12" s="45" t="n">
        <v>6</v>
      </c>
      <c r="B12" s="45" t="s">
        <v>195</v>
      </c>
      <c r="C12" s="46" t="str">
        <f aca="false">'RAW DATA Q2 - 2'!DM$1</f>
        <v>SHL proactively coordinates when there is a potential dispute or issue before it impacts participants/AXA
</v>
      </c>
      <c r="D12" s="47" t="n">
        <f aca="false">'RAW DATA Q2 - 2'!DM6</f>
        <v>4</v>
      </c>
    </row>
    <row r="13" customFormat="false" ht="39.55" hidden="false" customHeight="false" outlineLevel="0" collapsed="false">
      <c r="A13" s="45" t="n">
        <v>7</v>
      </c>
      <c r="B13" s="45" t="s">
        <v>195</v>
      </c>
      <c r="C13" s="46" t="str">
        <f aca="false">'RAW DATA Q2 - 2'!DN$1</f>
        <v>Overall, the quality of supplier work on the talent assesment project meets our expectations
</v>
      </c>
      <c r="D13" s="47" t="n">
        <f aca="false">'RAW DATA Q2 - 2'!DN6</f>
        <v>4</v>
      </c>
    </row>
    <row r="14" customFormat="false" ht="39.55" hidden="false" customHeight="false" outlineLevel="0" collapsed="false">
      <c r="A14" s="48" t="n">
        <v>8</v>
      </c>
      <c r="B14" s="48" t="s">
        <v>196</v>
      </c>
      <c r="C14" s="49" t="str">
        <f aca="false">'RAW DATA Q2 - 2'!FE$1</f>
        <v>Booking Forms for Talent Acquisition assessments are processed on the same Business Day if received before 16.30 WIB
</v>
      </c>
      <c r="D14" s="50" t="n">
        <f aca="false">'RAW DATA Q2 - 2'!FE6</f>
        <v>5</v>
      </c>
    </row>
    <row r="15" customFormat="false" ht="39.55" hidden="false" customHeight="false" outlineLevel="0" collapsed="false">
      <c r="A15" s="48" t="n">
        <v>9</v>
      </c>
      <c r="B15" s="48" t="s">
        <v>196</v>
      </c>
      <c r="C15" s="49" t="str">
        <f aca="false">'RAW DATA Q2 - 2'!FF$1</f>
        <v>Booking Forms for Talent Management assessments are responded to on the same Business Day for further scheduling
</v>
      </c>
      <c r="D15" s="50" t="n">
        <f aca="false">'RAW DATA Q2 - 2'!FF6</f>
        <v>5</v>
      </c>
    </row>
    <row r="16" customFormat="false" ht="39.55" hidden="false" customHeight="false" outlineLevel="0" collapsed="false">
      <c r="A16" s="48" t="n">
        <v>10</v>
      </c>
      <c r="B16" s="48" t="s">
        <v>196</v>
      </c>
      <c r="C16" s="49" t="str">
        <f aca="false">'RAW DATA Q2 - 2'!FG$1</f>
        <v>Individual Reports for Talent Acquisition assessments are delivered within H+1 Business Day after the assessment is completed
</v>
      </c>
      <c r="D16" s="50" t="n">
        <f aca="false">'RAW DATA Q2 - 2'!FG6</f>
        <v>5</v>
      </c>
    </row>
    <row r="17" customFormat="false" ht="39.55" hidden="false" customHeight="false" outlineLevel="0" collapsed="false">
      <c r="A17" s="48" t="n">
        <v>11</v>
      </c>
      <c r="B17" s="48" t="s">
        <v>196</v>
      </c>
      <c r="C17" s="49" t="str">
        <f aca="false">'RAW DATA Q2 - 2'!FH$1</f>
        <v>Recap Reports for Talent Acquisition assessments are delivered within H+3 Business Days after the assessment is completed
</v>
      </c>
      <c r="D17" s="50" t="n">
        <f aca="false">'RAW DATA Q2 - 2'!FH6</f>
        <v>5</v>
      </c>
    </row>
    <row r="18" customFormat="false" ht="39.55" hidden="false" customHeight="false" outlineLevel="0" collapsed="false">
      <c r="A18" s="48" t="n">
        <v>12</v>
      </c>
      <c r="B18" s="48" t="s">
        <v>196</v>
      </c>
      <c r="C18" s="49" t="str">
        <f aca="false">'RAW DATA Q2 - 2'!FI$1</f>
        <v>Recap Reports for Talent Management assessments are delivered within H+5 Business Days after the assessment is completed
</v>
      </c>
      <c r="D18" s="50" t="n">
        <f aca="false">'RAW DATA Q2 - 2'!FI6</f>
        <v>5</v>
      </c>
    </row>
    <row r="19" customFormat="false" ht="39.55" hidden="false" customHeight="false" outlineLevel="0" collapsed="false">
      <c r="A19" s="48" t="n">
        <v>13</v>
      </c>
      <c r="B19" s="48" t="s">
        <v>196</v>
      </c>
      <c r="C19" s="49" t="str">
        <f aca="false">'RAW DATA Q2 - 2'!FJ$1</f>
        <v>Individual Reports for Talent Management assessments are delivered within H+10 Business Days after the assessment is completed
</v>
      </c>
      <c r="D19" s="50" t="n">
        <f aca="false">'RAW DATA Q2 - 2'!FJ6</f>
        <v>5</v>
      </c>
    </row>
    <row r="20" customFormat="false" ht="39.55" hidden="false" customHeight="false" outlineLevel="0" collapsed="false">
      <c r="A20" s="48" t="n">
        <v>14</v>
      </c>
      <c r="B20" s="48" t="s">
        <v>196</v>
      </c>
      <c r="C20" s="49" t="str">
        <f aca="false">'RAW DATA Q2 - 2'!FK$1</f>
        <v>SHL's helpdesk operates and is reachable within the committed service hours (Monday–Friday, 08.00–17.00 WIB).
</v>
      </c>
      <c r="D20" s="50" t="n">
        <f aca="false">'RAW DATA Q2 - 2'!FK6</f>
        <v>5</v>
      </c>
    </row>
    <row r="21" customFormat="false" ht="39.55" hidden="false" customHeight="false" outlineLevel="0" collapsed="false">
      <c r="A21" s="48" t="n">
        <v>15</v>
      </c>
      <c r="B21" s="48" t="s">
        <v>196</v>
      </c>
      <c r="C21" s="49" t="str">
        <f aca="false">'RAW DATA Q2 - 2'!FL$1</f>
        <v>Overall, SHL is consistent in meeting all the time commitments agreed under this Agreement
</v>
      </c>
      <c r="D21" s="50" t="n">
        <f aca="false">'RAW DATA Q2 - 2'!FL6</f>
        <v>5</v>
      </c>
    </row>
    <row r="22" customFormat="false" ht="15" hidden="false" customHeight="false" outlineLevel="0" collapsed="false">
      <c r="A22" s="51" t="n">
        <v>16</v>
      </c>
      <c r="B22" s="51" t="s">
        <v>197</v>
      </c>
      <c r="C22" s="52" t="str">
        <f aca="false">'RAW DATA Q2 - 2'!FM$1</f>
        <v>How would you rate the supplier's communication with you?</v>
      </c>
      <c r="D22" s="53" t="n">
        <f aca="false">'RAW DATA Q2 - 2'!FM6</f>
        <v>5</v>
      </c>
    </row>
    <row r="23" customFormat="false" ht="26.85" hidden="false" customHeight="false" outlineLevel="0" collapsed="false">
      <c r="A23" s="51" t="n">
        <v>17</v>
      </c>
      <c r="B23" s="51" t="s">
        <v>197</v>
      </c>
      <c r="C23" s="52" t="str">
        <f aca="false">'RAW DATA Q2 - 2'!FN$1</f>
        <v>How would you rate the supplier's PIC's availability to be contacted when needed?</v>
      </c>
      <c r="D23" s="53" t="n">
        <f aca="false">'RAW DATA Q2 - 2'!FN6</f>
        <v>5</v>
      </c>
    </row>
    <row r="24" customFormat="false" ht="39.55" hidden="false" customHeight="false" outlineLevel="0" collapsed="false">
      <c r="A24" s="51" t="n">
        <v>18</v>
      </c>
      <c r="B24" s="51" t="s">
        <v>197</v>
      </c>
      <c r="C24" s="52" t="str">
        <f aca="false">'RAW DATA Q2 - 2'!FO$1</f>
        <v>How would you rate the supplier's response speed to you when there are issues?
</v>
      </c>
      <c r="D24" s="53" t="n">
        <f aca="false">'RAW DATA Q2 - 2'!FO6</f>
        <v>4</v>
      </c>
    </row>
    <row r="26" customFormat="false" ht="15" hidden="false" customHeight="false" outlineLevel="0" collapsed="false">
      <c r="A26" s="42" t="s">
        <v>198</v>
      </c>
      <c r="B26" s="54" t="n">
        <f aca="false">AVERAGEIF(B7:B24,"Quality",D7:D24)</f>
        <v>4.16666666666667</v>
      </c>
    </row>
    <row r="27" customFormat="false" ht="15" hidden="false" customHeight="false" outlineLevel="0" collapsed="false">
      <c r="A27" s="42" t="s">
        <v>199</v>
      </c>
      <c r="B27" s="54" t="n">
        <f aca="false">AVERAGEIF(B7:B24,"Timeline",D7:D24)</f>
        <v>5</v>
      </c>
    </row>
    <row r="28" customFormat="false" ht="15" hidden="false" customHeight="false" outlineLevel="0" collapsed="false">
      <c r="A28" s="42" t="s">
        <v>200</v>
      </c>
      <c r="B28" s="54" t="n">
        <f aca="false">AVERAGEIF(B7:B24,"Relationship",D7:D24)</f>
        <v>4.66666666666667</v>
      </c>
    </row>
    <row r="29" customFormat="false" ht="15" hidden="false" customHeight="false" outlineLevel="0" collapsed="false">
      <c r="A29" s="42" t="s">
        <v>201</v>
      </c>
      <c r="B29" s="55" t="n">
        <f aca="false">B26*0.35+B27*0.35+B28*0.3</f>
        <v>4.60833333333333</v>
      </c>
    </row>
    <row r="30" customFormat="false" ht="15" hidden="false" customHeight="false" outlineLevel="0" collapsed="false">
      <c r="A30" s="42" t="s">
        <v>202</v>
      </c>
      <c r="B30" s="42" t="str">
        <f aca="false">IF(B29&gt;4.99,"Exceptional",IF(B29&gt;3.99,"Exceed Expectation",IF(B29&gt;=2.99,"Meet Expectation",IF(B29&gt;1.9,"Below Expectation","Unsatisfactory"))))</f>
        <v>Exceed Expectation</v>
      </c>
    </row>
    <row r="32" customFormat="false" ht="15" hidden="false" customHeight="false" outlineLevel="0" collapsed="false">
      <c r="A32" s="56" t="s">
        <v>203</v>
      </c>
    </row>
    <row r="33" customFormat="false" ht="15" hidden="false" customHeight="false" outlineLevel="0" collapsed="false">
      <c r="A33" s="38" t="s">
        <v>204</v>
      </c>
      <c r="B33" s="57" t="str">
        <f aca="false">'RAW DATA Q2 - 2'!FP6</f>
        <v>Yes</v>
      </c>
    </row>
    <row r="34" customFormat="false" ht="15" hidden="false" customHeight="false" outlineLevel="0" collapsed="false">
      <c r="A34" s="38" t="s">
        <v>205</v>
      </c>
      <c r="B34" s="57" t="str">
        <f aca="false">'RAW DATA Q2 - 2'!FQ6</f>
        <v>Yes</v>
      </c>
    </row>
    <row r="35" customFormat="false" ht="41.75" hidden="false" customHeight="false" outlineLevel="0" collapsed="false">
      <c r="A35" s="38" t="s">
        <v>206</v>
      </c>
      <c r="B35" s="57" t="str">
        <f aca="false">'RAW DATA Q2 - 2'!FR6</f>
        <v>Yes, DPIA completed and there are actions to be done by Project Owner</v>
      </c>
    </row>
    <row r="36" customFormat="false" ht="15" hidden="false" customHeight="false" outlineLevel="0" collapsed="false">
      <c r="A36" s="38" t="s">
        <v>207</v>
      </c>
      <c r="B36" s="57" t="str">
        <f aca="false">'RAW DATA Q2 - 2'!FS6</f>
        <v>No Implementation</v>
      </c>
    </row>
    <row r="37" customFormat="false" ht="15" hidden="false" customHeight="false" outlineLevel="0" collapsed="false">
      <c r="A37" s="38" t="s">
        <v>208</v>
      </c>
      <c r="B37" s="57" t="str">
        <f aca="false">'RAW DATA Q2 - 2'!FT6</f>
        <v>No Implementation</v>
      </c>
    </row>
    <row r="38" customFormat="false" ht="28.35" hidden="false" customHeight="false" outlineLevel="0" collapsed="false">
      <c r="A38" s="38" t="s">
        <v>209</v>
      </c>
      <c r="B38" s="57" t="str">
        <f aca="false">'RAW DATA Q2 - 2'!FU6</f>
        <v>No – No action items were required</v>
      </c>
    </row>
    <row r="40" customFormat="false" ht="15" hidden="false" customHeight="false" outlineLevel="0" collapsed="false">
      <c r="A40" s="56" t="s">
        <v>74</v>
      </c>
    </row>
    <row r="41" customFormat="false" ht="15" hidden="false" customHeight="false" outlineLevel="0" collapsed="false">
      <c r="B41" s="58" t="str">
        <f aca="false">'RAW DATA Q2 - 2'!FV6</f>
        <v>N/A</v>
      </c>
      <c r="C41" s="58"/>
      <c r="D41" s="58"/>
    </row>
  </sheetData>
  <mergeCells count="2">
    <mergeCell ref="A1:D1"/>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45"/>
  </cols>
  <sheetData>
    <row r="1" customFormat="false" ht="17.25" hidden="false" customHeight="true" outlineLevel="0" collapsed="false">
      <c r="A1" s="63" t="s">
        <v>219</v>
      </c>
      <c r="B1" s="63"/>
    </row>
    <row r="2" customFormat="false" ht="15" hidden="false" customHeight="true" outlineLevel="0" collapsed="false">
      <c r="A2" s="64" t="s">
        <v>220</v>
      </c>
      <c r="B2" s="65" t="s">
        <v>221</v>
      </c>
    </row>
    <row r="3" customFormat="false" ht="15" hidden="false" customHeight="true" outlineLevel="0" collapsed="false">
      <c r="A3" s="64" t="s">
        <v>222</v>
      </c>
      <c r="B3" s="65" t="n">
        <f aca="false">COUNTA(RESULT!B2:B19)</f>
        <v>18</v>
      </c>
    </row>
    <row r="4" customFormat="false" ht="15" hidden="false" customHeight="true" outlineLevel="0" collapsed="false">
      <c r="A4" s="64" t="s">
        <v>223</v>
      </c>
      <c r="B4" s="66" t="n">
        <v>19</v>
      </c>
    </row>
    <row r="5" customFormat="false" ht="15" hidden="false" customHeight="true" outlineLevel="0" collapsed="false">
      <c r="A5" s="64" t="s">
        <v>224</v>
      </c>
      <c r="B5" s="67" t="n">
        <f aca="false">B3/B4</f>
        <v>0.947368421052632</v>
      </c>
    </row>
    <row r="6" customFormat="false" ht="15" hidden="false" customHeight="true" outlineLevel="0" collapsed="false">
      <c r="A6" s="64" t="s">
        <v>225</v>
      </c>
      <c r="B6" s="65" t="n">
        <f aca="false">SUMPRODUCT(--(RESULT!F2:F19&lt;&gt;"Below Expectation"))-SUMPRODUCT(--(RESULT!F2:F19="Unsatisfactory"))</f>
        <v>17</v>
      </c>
    </row>
    <row r="7" customFormat="false" ht="15" hidden="false" customHeight="true" outlineLevel="0" collapsed="false">
      <c r="A7" s="64" t="s">
        <v>226</v>
      </c>
      <c r="B7" s="65" t="n">
        <f aca="false">COUNTIF(RESULT!F2:F19,"Below Expectation")+COUNTIF(RESULT!F2:F19,"Unsatisfactory")</f>
        <v>1</v>
      </c>
    </row>
    <row r="8" customFormat="false" ht="26.25" hidden="false" customHeight="true" outlineLevel="0" collapsed="false">
      <c r="A8" s="64" t="s">
        <v>227</v>
      </c>
      <c r="B8" s="68" t="str">
        <f aca="false">_xlfn.TEXTJOIN(", ",TRUE(),RESULT!K2:K19)</f>
        <v>Arah Sejahtera Abadi - Perjanjian Sewa Menyewa</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Q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2"/>
    <col collapsed="false" customWidth="true" hidden="false" outlineLevel="0" max="3" min="3" style="1" width="26"/>
    <col collapsed="false" customWidth="true" hidden="false" outlineLevel="0" max="4" min="4" style="1" width="20"/>
    <col collapsed="false" customWidth="true" hidden="false" outlineLevel="0" max="8" min="5" style="1" width="10"/>
    <col collapsed="false" customWidth="true" hidden="false" outlineLevel="0" max="10" min="9" style="1" width="12"/>
    <col collapsed="false" customWidth="true" hidden="false" outlineLevel="0" max="17" min="11" style="1" width="10"/>
  </cols>
  <sheetData>
    <row r="1" customFormat="false" ht="45" hidden="false" customHeight="true" outlineLevel="0" collapsed="false">
      <c r="A1" s="37" t="s">
        <v>78</v>
      </c>
      <c r="B1" s="37" t="s">
        <v>228</v>
      </c>
      <c r="C1" s="37" t="s">
        <v>229</v>
      </c>
      <c r="D1" s="37" t="s">
        <v>230</v>
      </c>
      <c r="E1" s="37" t="s">
        <v>231</v>
      </c>
      <c r="F1" s="37" t="s">
        <v>232</v>
      </c>
      <c r="G1" s="37" t="s">
        <v>233</v>
      </c>
      <c r="H1" s="37" t="s">
        <v>234</v>
      </c>
      <c r="I1" s="37" t="s">
        <v>235</v>
      </c>
      <c r="J1" s="37" t="s">
        <v>236</v>
      </c>
      <c r="K1" s="37" t="s">
        <v>237</v>
      </c>
      <c r="L1" s="37" t="s">
        <v>238</v>
      </c>
      <c r="M1" s="37" t="s">
        <v>239</v>
      </c>
      <c r="N1" s="37" t="s">
        <v>240</v>
      </c>
      <c r="O1" s="37" t="s">
        <v>241</v>
      </c>
      <c r="P1" s="37" t="s">
        <v>242</v>
      </c>
      <c r="Q1" s="37" t="s">
        <v>243</v>
      </c>
    </row>
    <row r="2" customFormat="false" ht="15" hidden="false" customHeight="true" outlineLevel="0" collapsed="false">
      <c r="A2" s="69" t="n">
        <v>1</v>
      </c>
      <c r="B2" s="69" t="s">
        <v>244</v>
      </c>
      <c r="C2" s="69" t="s">
        <v>245</v>
      </c>
      <c r="D2" s="70" t="s">
        <v>246</v>
      </c>
      <c r="E2" s="70" t="s">
        <v>247</v>
      </c>
      <c r="F2" s="70" t="s">
        <v>248</v>
      </c>
      <c r="G2" s="70" t="s">
        <v>249</v>
      </c>
      <c r="H2" s="70" t="s">
        <v>250</v>
      </c>
      <c r="I2" s="70" t="s">
        <v>251</v>
      </c>
      <c r="J2" s="70" t="s">
        <v>252</v>
      </c>
      <c r="K2" s="70" t="s">
        <v>253</v>
      </c>
      <c r="L2" s="70" t="s">
        <v>254</v>
      </c>
      <c r="M2" s="70" t="s">
        <v>255</v>
      </c>
      <c r="N2" s="70" t="s">
        <v>256</v>
      </c>
      <c r="O2" s="70" t="s">
        <v>257</v>
      </c>
      <c r="P2" s="70" t="s">
        <v>258</v>
      </c>
      <c r="Q2" s="70" t="s">
        <v>259</v>
      </c>
    </row>
    <row r="3" customFormat="false" ht="15" hidden="false" customHeight="true" outlineLevel="0" collapsed="false">
      <c r="A3" s="69" t="n">
        <v>2</v>
      </c>
      <c r="B3" s="69" t="s">
        <v>260</v>
      </c>
      <c r="C3" s="69" t="s">
        <v>245</v>
      </c>
      <c r="D3" s="70" t="s">
        <v>246</v>
      </c>
      <c r="E3" s="70" t="s">
        <v>261</v>
      </c>
      <c r="F3" s="70" t="s">
        <v>262</v>
      </c>
      <c r="G3" s="70" t="s">
        <v>249</v>
      </c>
      <c r="H3" s="70" t="s">
        <v>250</v>
      </c>
      <c r="I3" s="70" t="s">
        <v>251</v>
      </c>
      <c r="J3" s="70" t="s">
        <v>252</v>
      </c>
      <c r="K3" s="70" t="s">
        <v>253</v>
      </c>
      <c r="L3" s="70" t="s">
        <v>254</v>
      </c>
      <c r="M3" s="70" t="s">
        <v>255</v>
      </c>
      <c r="N3" s="70" t="s">
        <v>256</v>
      </c>
      <c r="O3" s="70" t="s">
        <v>257</v>
      </c>
      <c r="P3" s="70" t="s">
        <v>258</v>
      </c>
      <c r="Q3" s="70" t="s">
        <v>259</v>
      </c>
    </row>
    <row r="4" customFormat="false" ht="15" hidden="false" customHeight="true" outlineLevel="0" collapsed="false">
      <c r="A4" s="69" t="n">
        <v>3</v>
      </c>
      <c r="B4" s="69" t="s">
        <v>263</v>
      </c>
      <c r="C4" s="69" t="s">
        <v>245</v>
      </c>
      <c r="D4" s="70" t="s">
        <v>246</v>
      </c>
      <c r="E4" s="70" t="s">
        <v>264</v>
      </c>
      <c r="F4" s="70" t="s">
        <v>265</v>
      </c>
      <c r="G4" s="70" t="s">
        <v>249</v>
      </c>
      <c r="H4" s="70" t="s">
        <v>250</v>
      </c>
      <c r="I4" s="70" t="s">
        <v>251</v>
      </c>
      <c r="J4" s="70" t="s">
        <v>252</v>
      </c>
      <c r="K4" s="70" t="s">
        <v>253</v>
      </c>
      <c r="L4" s="70" t="s">
        <v>254</v>
      </c>
      <c r="M4" s="70" t="s">
        <v>255</v>
      </c>
      <c r="N4" s="70" t="s">
        <v>256</v>
      </c>
      <c r="O4" s="70" t="s">
        <v>257</v>
      </c>
      <c r="P4" s="70" t="s">
        <v>258</v>
      </c>
      <c r="Q4" s="70" t="s">
        <v>259</v>
      </c>
    </row>
    <row r="5" customFormat="false" ht="15" hidden="false" customHeight="true" outlineLevel="0" collapsed="false">
      <c r="A5" s="69" t="n">
        <v>4</v>
      </c>
      <c r="B5" s="69" t="s">
        <v>266</v>
      </c>
      <c r="C5" s="69" t="s">
        <v>187</v>
      </c>
      <c r="D5" s="70" t="s">
        <v>246</v>
      </c>
      <c r="E5" s="70" t="s">
        <v>267</v>
      </c>
      <c r="F5" s="70" t="s">
        <v>268</v>
      </c>
      <c r="G5" s="70" t="s">
        <v>249</v>
      </c>
      <c r="H5" s="70" t="s">
        <v>250</v>
      </c>
      <c r="I5" s="70" t="s">
        <v>251</v>
      </c>
      <c r="J5" s="70" t="s">
        <v>252</v>
      </c>
      <c r="K5" s="70" t="s">
        <v>253</v>
      </c>
      <c r="L5" s="70" t="s">
        <v>254</v>
      </c>
      <c r="M5" s="70" t="s">
        <v>255</v>
      </c>
      <c r="N5" s="70" t="s">
        <v>256</v>
      </c>
      <c r="O5" s="70" t="s">
        <v>257</v>
      </c>
      <c r="P5" s="70" t="s">
        <v>258</v>
      </c>
      <c r="Q5" s="70" t="s">
        <v>259</v>
      </c>
    </row>
    <row r="6" customFormat="false" ht="15" hidden="false" customHeight="true" outlineLevel="0" collapsed="false">
      <c r="A6" s="69" t="n">
        <v>5</v>
      </c>
      <c r="B6" s="69" t="s">
        <v>269</v>
      </c>
      <c r="C6" s="69" t="s">
        <v>270</v>
      </c>
      <c r="D6" s="70" t="s">
        <v>246</v>
      </c>
      <c r="E6" s="70" t="s">
        <v>271</v>
      </c>
      <c r="F6" s="70" t="s">
        <v>272</v>
      </c>
      <c r="G6" s="70" t="s">
        <v>273</v>
      </c>
      <c r="H6" s="70" t="s">
        <v>274</v>
      </c>
      <c r="I6" s="70" t="s">
        <v>251</v>
      </c>
      <c r="J6" s="70" t="s">
        <v>252</v>
      </c>
      <c r="K6" s="70" t="s">
        <v>253</v>
      </c>
      <c r="L6" s="70" t="s">
        <v>254</v>
      </c>
      <c r="M6" s="70" t="s">
        <v>255</v>
      </c>
      <c r="N6" s="70" t="s">
        <v>256</v>
      </c>
      <c r="O6" s="70" t="s">
        <v>257</v>
      </c>
      <c r="P6" s="70" t="s">
        <v>258</v>
      </c>
      <c r="Q6" s="70" t="s">
        <v>259</v>
      </c>
    </row>
    <row r="7" customFormat="false" ht="15" hidden="false" customHeight="true" outlineLevel="0" collapsed="false">
      <c r="A7" s="69" t="n">
        <v>6</v>
      </c>
      <c r="B7" s="69" t="s">
        <v>275</v>
      </c>
      <c r="C7" s="69" t="s">
        <v>270</v>
      </c>
      <c r="D7" s="70" t="s">
        <v>246</v>
      </c>
      <c r="E7" s="70" t="s">
        <v>276</v>
      </c>
      <c r="F7" s="70" t="s">
        <v>277</v>
      </c>
      <c r="G7" s="70" t="s">
        <v>278</v>
      </c>
      <c r="H7" s="70" t="s">
        <v>279</v>
      </c>
      <c r="I7" s="70" t="s">
        <v>251</v>
      </c>
      <c r="J7" s="70" t="s">
        <v>252</v>
      </c>
      <c r="K7" s="70" t="s">
        <v>253</v>
      </c>
      <c r="L7" s="70" t="s">
        <v>254</v>
      </c>
      <c r="M7" s="70" t="s">
        <v>255</v>
      </c>
      <c r="N7" s="70" t="s">
        <v>256</v>
      </c>
      <c r="O7" s="70" t="s">
        <v>257</v>
      </c>
      <c r="P7" s="70" t="s">
        <v>258</v>
      </c>
      <c r="Q7" s="70" t="s">
        <v>259</v>
      </c>
    </row>
    <row r="8" customFormat="false" ht="15" hidden="false" customHeight="true" outlineLevel="0" collapsed="false">
      <c r="A8" s="69" t="n">
        <v>7</v>
      </c>
      <c r="B8" s="69" t="s">
        <v>280</v>
      </c>
      <c r="C8" s="69" t="s">
        <v>187</v>
      </c>
      <c r="D8" s="70" t="s">
        <v>246</v>
      </c>
      <c r="E8" s="70" t="s">
        <v>281</v>
      </c>
      <c r="F8" s="70" t="s">
        <v>282</v>
      </c>
      <c r="G8" s="70" t="s">
        <v>283</v>
      </c>
      <c r="H8" s="70" t="s">
        <v>284</v>
      </c>
      <c r="I8" s="70" t="s">
        <v>251</v>
      </c>
      <c r="J8" s="70" t="s">
        <v>252</v>
      </c>
      <c r="K8" s="70" t="s">
        <v>253</v>
      </c>
      <c r="L8" s="70" t="s">
        <v>254</v>
      </c>
      <c r="M8" s="70" t="s">
        <v>255</v>
      </c>
      <c r="N8" s="70" t="s">
        <v>256</v>
      </c>
      <c r="O8" s="70" t="s">
        <v>257</v>
      </c>
      <c r="P8" s="70" t="s">
        <v>258</v>
      </c>
      <c r="Q8" s="70" t="s">
        <v>259</v>
      </c>
    </row>
    <row r="9" customFormat="false" ht="15" hidden="false" customHeight="true" outlineLevel="0" collapsed="false">
      <c r="A9" s="69" t="n">
        <v>8</v>
      </c>
      <c r="B9" s="69" t="s">
        <v>285</v>
      </c>
      <c r="C9" s="69" t="s">
        <v>286</v>
      </c>
      <c r="D9" s="70" t="s">
        <v>246</v>
      </c>
      <c r="E9" s="70" t="s">
        <v>287</v>
      </c>
      <c r="F9" s="70" t="s">
        <v>288</v>
      </c>
      <c r="G9" s="70" t="s">
        <v>249</v>
      </c>
      <c r="H9" s="70" t="s">
        <v>250</v>
      </c>
      <c r="I9" s="70" t="s">
        <v>251</v>
      </c>
      <c r="J9" s="70" t="s">
        <v>252</v>
      </c>
      <c r="K9" s="70" t="s">
        <v>253</v>
      </c>
      <c r="L9" s="70" t="s">
        <v>254</v>
      </c>
      <c r="M9" s="70" t="s">
        <v>255</v>
      </c>
      <c r="N9" s="70" t="s">
        <v>256</v>
      </c>
      <c r="O9" s="70" t="s">
        <v>257</v>
      </c>
      <c r="P9" s="70" t="s">
        <v>258</v>
      </c>
      <c r="Q9" s="70" t="s">
        <v>259</v>
      </c>
    </row>
    <row r="10" customFormat="false" ht="15" hidden="false" customHeight="true" outlineLevel="0" collapsed="false">
      <c r="A10" s="69" t="n">
        <v>9</v>
      </c>
      <c r="B10" s="69" t="s">
        <v>289</v>
      </c>
      <c r="C10" s="69" t="s">
        <v>290</v>
      </c>
      <c r="D10" s="70" t="s">
        <v>246</v>
      </c>
      <c r="E10" s="70" t="s">
        <v>291</v>
      </c>
      <c r="F10" s="70" t="s">
        <v>292</v>
      </c>
      <c r="G10" s="70" t="s">
        <v>293</v>
      </c>
      <c r="H10" s="70" t="s">
        <v>294</v>
      </c>
      <c r="I10" s="70" t="s">
        <v>251</v>
      </c>
      <c r="J10" s="70" t="s">
        <v>252</v>
      </c>
      <c r="K10" s="70" t="s">
        <v>253</v>
      </c>
      <c r="L10" s="70" t="s">
        <v>254</v>
      </c>
      <c r="M10" s="70" t="s">
        <v>255</v>
      </c>
      <c r="N10" s="70" t="s">
        <v>256</v>
      </c>
      <c r="O10" s="70" t="s">
        <v>257</v>
      </c>
      <c r="P10" s="70" t="s">
        <v>258</v>
      </c>
      <c r="Q10" s="70" t="s">
        <v>259</v>
      </c>
    </row>
    <row r="11" customFormat="false" ht="15" hidden="false" customHeight="true" outlineLevel="0" collapsed="false">
      <c r="A11" s="69" t="n">
        <v>10</v>
      </c>
      <c r="B11" s="69" t="s">
        <v>295</v>
      </c>
      <c r="C11" s="69" t="s">
        <v>296</v>
      </c>
      <c r="D11" s="70" t="s">
        <v>246</v>
      </c>
      <c r="E11" s="70" t="s">
        <v>297</v>
      </c>
      <c r="F11" s="70" t="s">
        <v>298</v>
      </c>
      <c r="G11" s="70" t="s">
        <v>249</v>
      </c>
      <c r="H11" s="70" t="s">
        <v>250</v>
      </c>
      <c r="I11" s="70" t="s">
        <v>251</v>
      </c>
      <c r="J11" s="70" t="s">
        <v>252</v>
      </c>
      <c r="K11" s="70" t="s">
        <v>253</v>
      </c>
      <c r="L11" s="70" t="s">
        <v>254</v>
      </c>
      <c r="M11" s="70" t="s">
        <v>255</v>
      </c>
      <c r="N11" s="70" t="s">
        <v>256</v>
      </c>
      <c r="O11" s="70" t="s">
        <v>257</v>
      </c>
      <c r="P11" s="70" t="s">
        <v>258</v>
      </c>
      <c r="Q11" s="70" t="s">
        <v>259</v>
      </c>
    </row>
    <row r="12" customFormat="false" ht="15" hidden="false" customHeight="true" outlineLevel="0" collapsed="false">
      <c r="A12" s="69" t="n">
        <v>11</v>
      </c>
      <c r="B12" s="69" t="s">
        <v>299</v>
      </c>
      <c r="C12" s="69" t="s">
        <v>300</v>
      </c>
      <c r="D12" s="70" t="s">
        <v>246</v>
      </c>
      <c r="E12" s="70" t="s">
        <v>301</v>
      </c>
      <c r="F12" s="70" t="s">
        <v>302</v>
      </c>
      <c r="G12" s="70" t="s">
        <v>249</v>
      </c>
      <c r="H12" s="70" t="s">
        <v>250</v>
      </c>
      <c r="I12" s="70" t="s">
        <v>251</v>
      </c>
      <c r="J12" s="70" t="s">
        <v>252</v>
      </c>
      <c r="K12" s="70" t="s">
        <v>253</v>
      </c>
      <c r="L12" s="70" t="s">
        <v>254</v>
      </c>
      <c r="M12" s="70" t="s">
        <v>255</v>
      </c>
      <c r="N12" s="70" t="s">
        <v>256</v>
      </c>
      <c r="O12" s="70" t="s">
        <v>257</v>
      </c>
      <c r="P12" s="70" t="s">
        <v>258</v>
      </c>
      <c r="Q12" s="70" t="s">
        <v>259</v>
      </c>
    </row>
    <row r="13" customFormat="false" ht="15" hidden="false" customHeight="true" outlineLevel="0" collapsed="false">
      <c r="A13" s="69" t="n">
        <v>12</v>
      </c>
      <c r="B13" s="69" t="s">
        <v>303</v>
      </c>
      <c r="C13" s="69" t="s">
        <v>304</v>
      </c>
      <c r="D13" s="70" t="s">
        <v>246</v>
      </c>
      <c r="E13" s="70" t="s">
        <v>305</v>
      </c>
      <c r="F13" s="70" t="s">
        <v>306</v>
      </c>
      <c r="G13" s="70" t="s">
        <v>249</v>
      </c>
      <c r="H13" s="70" t="s">
        <v>250</v>
      </c>
      <c r="I13" s="70" t="s">
        <v>251</v>
      </c>
      <c r="J13" s="70" t="s">
        <v>252</v>
      </c>
      <c r="K13" s="70" t="s">
        <v>253</v>
      </c>
      <c r="L13" s="70" t="s">
        <v>254</v>
      </c>
      <c r="M13" s="70" t="s">
        <v>255</v>
      </c>
      <c r="N13" s="70" t="s">
        <v>256</v>
      </c>
      <c r="O13" s="70" t="s">
        <v>257</v>
      </c>
      <c r="P13" s="70" t="s">
        <v>258</v>
      </c>
      <c r="Q13" s="70" t="s">
        <v>259</v>
      </c>
    </row>
    <row r="14" customFormat="false" ht="15" hidden="false" customHeight="true" outlineLevel="0" collapsed="false">
      <c r="A14" s="69" t="n">
        <v>13</v>
      </c>
      <c r="B14" s="69" t="s">
        <v>307</v>
      </c>
      <c r="C14" s="69" t="s">
        <v>308</v>
      </c>
      <c r="D14" s="70" t="s">
        <v>309</v>
      </c>
      <c r="E14" s="70" t="s">
        <v>310</v>
      </c>
      <c r="F14" s="70" t="s">
        <v>311</v>
      </c>
      <c r="G14" s="70" t="s">
        <v>312</v>
      </c>
      <c r="H14" s="70" t="s">
        <v>313</v>
      </c>
      <c r="I14" s="70" t="s">
        <v>314</v>
      </c>
      <c r="J14" s="70" t="s">
        <v>315</v>
      </c>
      <c r="K14" s="70" t="s">
        <v>316</v>
      </c>
      <c r="L14" s="70" t="s">
        <v>317</v>
      </c>
      <c r="M14" s="70" t="s">
        <v>318</v>
      </c>
      <c r="N14" s="70" t="s">
        <v>319</v>
      </c>
      <c r="O14" s="70" t="s">
        <v>320</v>
      </c>
      <c r="P14" s="70" t="s">
        <v>321</v>
      </c>
      <c r="Q14" s="70" t="s">
        <v>322</v>
      </c>
    </row>
    <row r="15" customFormat="false" ht="15" hidden="false" customHeight="true" outlineLevel="0" collapsed="false">
      <c r="A15" s="69" t="n">
        <v>14</v>
      </c>
      <c r="B15" s="69" t="s">
        <v>323</v>
      </c>
      <c r="C15" s="69" t="s">
        <v>324</v>
      </c>
      <c r="D15" s="70" t="s">
        <v>309</v>
      </c>
      <c r="E15" s="70" t="s">
        <v>325</v>
      </c>
      <c r="F15" s="70" t="s">
        <v>326</v>
      </c>
      <c r="G15" s="70" t="s">
        <v>327</v>
      </c>
      <c r="H15" s="70" t="s">
        <v>328</v>
      </c>
      <c r="I15" s="70" t="s">
        <v>314</v>
      </c>
      <c r="J15" s="70" t="s">
        <v>315</v>
      </c>
      <c r="K15" s="70" t="s">
        <v>316</v>
      </c>
      <c r="L15" s="70" t="s">
        <v>317</v>
      </c>
      <c r="M15" s="70" t="s">
        <v>318</v>
      </c>
      <c r="N15" s="70" t="s">
        <v>319</v>
      </c>
      <c r="O15" s="70" t="s">
        <v>320</v>
      </c>
      <c r="P15" s="70" t="s">
        <v>321</v>
      </c>
      <c r="Q15" s="70" t="s">
        <v>322</v>
      </c>
    </row>
    <row r="16" customFormat="false" ht="15" hidden="false" customHeight="true" outlineLevel="0" collapsed="false">
      <c r="A16" s="69" t="n">
        <v>15</v>
      </c>
      <c r="B16" s="69" t="s">
        <v>329</v>
      </c>
      <c r="C16" s="69" t="s">
        <v>187</v>
      </c>
      <c r="D16" s="70" t="s">
        <v>309</v>
      </c>
      <c r="E16" s="70" t="s">
        <v>288</v>
      </c>
      <c r="F16" s="70" t="s">
        <v>330</v>
      </c>
      <c r="G16" s="70" t="s">
        <v>312</v>
      </c>
      <c r="H16" s="70" t="s">
        <v>313</v>
      </c>
      <c r="I16" s="70" t="s">
        <v>314</v>
      </c>
      <c r="J16" s="70" t="s">
        <v>315</v>
      </c>
      <c r="K16" s="70" t="s">
        <v>316</v>
      </c>
      <c r="L16" s="70" t="s">
        <v>317</v>
      </c>
      <c r="M16" s="70" t="s">
        <v>318</v>
      </c>
      <c r="N16" s="70" t="s">
        <v>319</v>
      </c>
      <c r="O16" s="70" t="s">
        <v>320</v>
      </c>
      <c r="P16" s="70" t="s">
        <v>321</v>
      </c>
      <c r="Q16" s="70" t="s">
        <v>322</v>
      </c>
    </row>
    <row r="17" customFormat="false" ht="15" hidden="false" customHeight="true" outlineLevel="0" collapsed="false">
      <c r="A17" s="69" t="n">
        <v>16</v>
      </c>
      <c r="B17" s="69" t="s">
        <v>331</v>
      </c>
      <c r="C17" s="69" t="s">
        <v>332</v>
      </c>
      <c r="D17" s="70" t="s">
        <v>309</v>
      </c>
      <c r="E17" s="70" t="s">
        <v>333</v>
      </c>
      <c r="F17" s="70" t="s">
        <v>334</v>
      </c>
      <c r="G17" s="70" t="s">
        <v>312</v>
      </c>
      <c r="H17" s="70" t="s">
        <v>313</v>
      </c>
      <c r="I17" s="70" t="s">
        <v>314</v>
      </c>
      <c r="J17" s="70" t="s">
        <v>315</v>
      </c>
      <c r="K17" s="70" t="s">
        <v>316</v>
      </c>
      <c r="L17" s="70" t="s">
        <v>317</v>
      </c>
      <c r="M17" s="70" t="s">
        <v>318</v>
      </c>
      <c r="N17" s="70" t="s">
        <v>319</v>
      </c>
      <c r="O17" s="70" t="s">
        <v>320</v>
      </c>
      <c r="P17" s="70" t="s">
        <v>321</v>
      </c>
      <c r="Q17" s="70" t="s">
        <v>322</v>
      </c>
    </row>
    <row r="18" customFormat="false" ht="15" hidden="false" customHeight="true" outlineLevel="0" collapsed="false">
      <c r="A18" s="69" t="n">
        <v>17</v>
      </c>
      <c r="B18" s="69" t="s">
        <v>335</v>
      </c>
      <c r="C18" s="69" t="s">
        <v>336</v>
      </c>
      <c r="D18" s="70" t="s">
        <v>309</v>
      </c>
      <c r="E18" s="70" t="s">
        <v>301</v>
      </c>
      <c r="F18" s="70" t="s">
        <v>337</v>
      </c>
      <c r="G18" s="70" t="s">
        <v>338</v>
      </c>
      <c r="H18" s="70" t="s">
        <v>339</v>
      </c>
      <c r="I18" s="70" t="s">
        <v>314</v>
      </c>
      <c r="J18" s="70" t="s">
        <v>315</v>
      </c>
      <c r="K18" s="70" t="s">
        <v>316</v>
      </c>
      <c r="L18" s="70" t="s">
        <v>317</v>
      </c>
      <c r="M18" s="70" t="s">
        <v>318</v>
      </c>
      <c r="N18" s="70" t="s">
        <v>319</v>
      </c>
      <c r="O18" s="70" t="s">
        <v>320</v>
      </c>
      <c r="P18" s="70" t="s">
        <v>321</v>
      </c>
      <c r="Q18" s="70" t="s">
        <v>322</v>
      </c>
    </row>
    <row r="19" customFormat="false" ht="15" hidden="false" customHeight="true" outlineLevel="0" collapsed="false">
      <c r="A19" s="69" t="n">
        <v>18</v>
      </c>
      <c r="B19" s="69" t="s">
        <v>340</v>
      </c>
      <c r="C19" s="69" t="s">
        <v>341</v>
      </c>
      <c r="D19" s="70" t="s">
        <v>309</v>
      </c>
      <c r="E19" s="70" t="s">
        <v>342</v>
      </c>
      <c r="F19" s="70" t="s">
        <v>343</v>
      </c>
      <c r="G19" s="70" t="s">
        <v>312</v>
      </c>
      <c r="H19" s="70" t="s">
        <v>313</v>
      </c>
      <c r="I19" s="70" t="s">
        <v>314</v>
      </c>
      <c r="J19" s="70" t="s">
        <v>315</v>
      </c>
      <c r="K19" s="70" t="s">
        <v>316</v>
      </c>
      <c r="L19" s="70" t="s">
        <v>317</v>
      </c>
      <c r="M19" s="70" t="s">
        <v>318</v>
      </c>
      <c r="N19" s="70" t="s">
        <v>319</v>
      </c>
      <c r="O19" s="70" t="s">
        <v>320</v>
      </c>
      <c r="P19" s="70" t="s">
        <v>321</v>
      </c>
      <c r="Q19" s="70" t="s">
        <v>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2"/>
    <col collapsed="false" customWidth="true" hidden="false" outlineLevel="0" max="3" min="3" style="1" width="14"/>
    <col collapsed="false" customWidth="true" hidden="false" outlineLevel="0" max="5" min="4" style="1" width="16"/>
    <col collapsed="false" customWidth="true" hidden="false" outlineLevel="0" max="6" min="6" style="1" width="18"/>
    <col collapsed="false" customWidth="true" hidden="false" outlineLevel="0" max="7" min="7" style="1" width="14"/>
    <col collapsed="false" customWidth="true" hidden="false" outlineLevel="0" max="8" min="8" style="1" width="20"/>
  </cols>
  <sheetData>
    <row r="1" customFormat="false" ht="30" hidden="false" customHeight="true" outlineLevel="0" collapsed="false">
      <c r="A1" s="37" t="s">
        <v>78</v>
      </c>
      <c r="B1" s="37" t="s">
        <v>344</v>
      </c>
      <c r="C1" s="37" t="s">
        <v>345</v>
      </c>
      <c r="D1" s="37" t="s">
        <v>198</v>
      </c>
      <c r="E1" s="37" t="s">
        <v>199</v>
      </c>
      <c r="F1" s="37" t="s">
        <v>200</v>
      </c>
      <c r="G1" s="37" t="s">
        <v>201</v>
      </c>
      <c r="H1" s="37" t="s">
        <v>202</v>
      </c>
    </row>
    <row r="2" customFormat="false" ht="15" hidden="false" customHeight="true" outlineLevel="0" collapsed="false">
      <c r="A2" s="71" t="n">
        <f aca="false">CONFIG!A2</f>
        <v>1</v>
      </c>
      <c r="B2" s="71" t="str">
        <f aca="false">CONFIG!B2</f>
        <v>Itsec Asia - Penetration Testing</v>
      </c>
      <c r="C2" s="71" t="n">
        <f aca="true">MATCH($B2,INDIRECT("'"&amp;CONFIG!D2&amp;"'!$F:$F"),0)</f>
        <v>2</v>
      </c>
      <c r="D2" s="72" t="n">
        <f aca="true">AVERAGE(INDIRECT("'"&amp;CONFIG!D2&amp;"'!"&amp;CONFIG!E2&amp;$C2&amp;":"&amp;CONFIG!F2&amp;$C2))</f>
        <v>3</v>
      </c>
      <c r="E2" s="72" t="n">
        <f aca="true">AVERAGE(INDIRECT("'"&amp;CONFIG!D2&amp;"'!"&amp;CONFIG!G2&amp;$C2&amp;":"&amp;CONFIG!H2&amp;$C2))</f>
        <v>3</v>
      </c>
      <c r="F2" s="72" t="n">
        <f aca="true">AVERAGE(INDIRECT("'"&amp;CONFIG!D2&amp;"'!"&amp;CONFIG!I2&amp;$C2&amp;":"&amp;CONFIG!J2&amp;$C2))</f>
        <v>3</v>
      </c>
      <c r="G2" s="72" t="n">
        <f aca="false">D2*0.35+E2*0.35+F2*0.3</f>
        <v>3</v>
      </c>
      <c r="H2" s="71" t="str">
        <f aca="false">IF(G2&gt;4.99,"Exceptional",IF(G2&gt;3.99,"Exceed Expectation",IF(G2&gt;=2.99,"Meet Expectation",IF(G2&gt;1.9,"Below Expectation","Unsatisfactory"))))</f>
        <v>Meet Expectation</v>
      </c>
    </row>
    <row r="3" customFormat="false" ht="15" hidden="false" customHeight="true" outlineLevel="0" collapsed="false">
      <c r="A3" s="71" t="n">
        <f aca="false">CONFIG!A3</f>
        <v>2</v>
      </c>
      <c r="B3" s="71" t="str">
        <f aca="false">CONFIG!B3</f>
        <v>Iproteksi Telematika - Penetration Testing</v>
      </c>
      <c r="C3" s="71" t="n">
        <f aca="true">MATCH($B3,INDIRECT("'"&amp;CONFIG!D3&amp;"'!$F:$F"),0)</f>
        <v>3</v>
      </c>
      <c r="D3" s="72" t="n">
        <f aca="true">AVERAGE(INDIRECT("'"&amp;CONFIG!D3&amp;"'!"&amp;CONFIG!E3&amp;$C3&amp;":"&amp;CONFIG!F3&amp;$C3))</f>
        <v>4</v>
      </c>
      <c r="E3" s="72" t="n">
        <f aca="true">AVERAGE(INDIRECT("'"&amp;CONFIG!D3&amp;"'!"&amp;CONFIG!G3&amp;$C3&amp;":"&amp;CONFIG!H3&amp;$C3))</f>
        <v>4</v>
      </c>
      <c r="F3" s="72" t="n">
        <f aca="true">AVERAGE(INDIRECT("'"&amp;CONFIG!D3&amp;"'!"&amp;CONFIG!I3&amp;$C3&amp;":"&amp;CONFIG!J3&amp;$C3))</f>
        <v>4</v>
      </c>
      <c r="G3" s="72" t="n">
        <f aca="false">D3*0.35+E3*0.35+F3*0.3</f>
        <v>4</v>
      </c>
      <c r="H3" s="71" t="str">
        <f aca="false">IF(G3&gt;4.99,"Exceptional",IF(G3&gt;3.99,"Exceed Expectation",IF(G3&gt;=2.99,"Meet Expectation",IF(G3&gt;1.9,"Below Expectation","Unsatisfactory"))))</f>
        <v>Exceed Expectation</v>
      </c>
    </row>
    <row r="4" customFormat="false" ht="15" hidden="false" customHeight="true" outlineLevel="0" collapsed="false">
      <c r="A4" s="71" t="n">
        <f aca="false">CONFIG!A4</f>
        <v>3</v>
      </c>
      <c r="B4" s="71" t="str">
        <f aca="false">CONFIG!B4</f>
        <v>FPT Metrodata - Penetration Testing</v>
      </c>
      <c r="C4" s="71" t="n">
        <f aca="true">MATCH($B4,INDIRECT("'"&amp;CONFIG!D4&amp;"'!$F:$F"),0)</f>
        <v>4</v>
      </c>
      <c r="D4" s="72" t="n">
        <f aca="true">AVERAGE(INDIRECT("'"&amp;CONFIG!D4&amp;"'!"&amp;CONFIG!E4&amp;$C4&amp;":"&amp;CONFIG!F4&amp;$C4))</f>
        <v>3</v>
      </c>
      <c r="E4" s="72" t="n">
        <f aca="true">AVERAGE(INDIRECT("'"&amp;CONFIG!D4&amp;"'!"&amp;CONFIG!G4&amp;$C4&amp;":"&amp;CONFIG!H4&amp;$C4))</f>
        <v>3</v>
      </c>
      <c r="F4" s="72" t="n">
        <f aca="true">AVERAGE(INDIRECT("'"&amp;CONFIG!D4&amp;"'!"&amp;CONFIG!I4&amp;$C4&amp;":"&amp;CONFIG!J4&amp;$C4))</f>
        <v>3</v>
      </c>
      <c r="G4" s="72" t="n">
        <f aca="false">D4*0.35+E4*0.35+F4*0.3</f>
        <v>3</v>
      </c>
      <c r="H4" s="71" t="str">
        <f aca="false">IF(G4&gt;4.99,"Exceptional",IF(G4&gt;3.99,"Exceed Expectation",IF(G4&gt;=2.99,"Meet Expectation",IF(G4&gt;1.9,"Below Expectation","Unsatisfactory"))))</f>
        <v>Meet Expectation</v>
      </c>
    </row>
    <row r="5" customFormat="false" ht="15" hidden="false" customHeight="true" outlineLevel="0" collapsed="false">
      <c r="A5" s="71" t="n">
        <f aca="false">CONFIG!A5</f>
        <v>4</v>
      </c>
      <c r="B5" s="71" t="str">
        <f aca="false">CONFIG!B5</f>
        <v>Satria Antaran Prima - Mailing Room</v>
      </c>
      <c r="C5" s="71" t="n">
        <f aca="true">MATCH($B5,INDIRECT("'"&amp;CONFIG!D5&amp;"'!$F:$F"),0)</f>
        <v>5</v>
      </c>
      <c r="D5" s="72" t="n">
        <f aca="true">AVERAGE(INDIRECT("'"&amp;CONFIG!D5&amp;"'!"&amp;CONFIG!E5&amp;$C5&amp;":"&amp;CONFIG!F5&amp;$C5))</f>
        <v>3.25</v>
      </c>
      <c r="E5" s="72" t="n">
        <f aca="true">AVERAGE(INDIRECT("'"&amp;CONFIG!D5&amp;"'!"&amp;CONFIG!G5&amp;$C5&amp;":"&amp;CONFIG!H5&amp;$C5))</f>
        <v>3.33333333333333</v>
      </c>
      <c r="F5" s="72" t="n">
        <f aca="true">AVERAGE(INDIRECT("'"&amp;CONFIG!D5&amp;"'!"&amp;CONFIG!I5&amp;$C5&amp;":"&amp;CONFIG!J5&amp;$C5))</f>
        <v>3.66666666666667</v>
      </c>
      <c r="G5" s="72" t="n">
        <f aca="false">D5*0.35+E5*0.35+F5*0.3</f>
        <v>3.40416666666667</v>
      </c>
      <c r="H5" s="71" t="str">
        <f aca="false">IF(G5&gt;4.99,"Exceptional",IF(G5&gt;3.99,"Exceed Expectation",IF(G5&gt;=2.99,"Meet Expectation",IF(G5&gt;1.9,"Below Expectation","Unsatisfactory"))))</f>
        <v>Meet Expectation</v>
      </c>
    </row>
    <row r="6" customFormat="false" ht="15" hidden="false" customHeight="true" outlineLevel="0" collapsed="false">
      <c r="A6" s="71" t="n">
        <f aca="false">CONFIG!A6</f>
        <v>5</v>
      </c>
      <c r="B6" s="71" t="str">
        <f aca="false">CONFIG!B6</f>
        <v>Informasi Teknologi Indonesia - SMS Broadcast</v>
      </c>
      <c r="C6" s="71" t="n">
        <f aca="true">MATCH($B6,INDIRECT("'"&amp;CONFIG!D6&amp;"'!$F:$F"),0)</f>
        <v>6</v>
      </c>
      <c r="D6" s="72" t="n">
        <f aca="true">AVERAGE(INDIRECT("'"&amp;CONFIG!D6&amp;"'!"&amp;CONFIG!E6&amp;$C6&amp;":"&amp;CONFIG!F6&amp;$C6))</f>
        <v>3</v>
      </c>
      <c r="E6" s="72" t="n">
        <f aca="true">AVERAGE(INDIRECT("'"&amp;CONFIG!D6&amp;"'!"&amp;CONFIG!G6&amp;$C6&amp;":"&amp;CONFIG!H6&amp;$C6))</f>
        <v>3</v>
      </c>
      <c r="F6" s="72" t="n">
        <f aca="true">AVERAGE(INDIRECT("'"&amp;CONFIG!D6&amp;"'!"&amp;CONFIG!I6&amp;$C6&amp;":"&amp;CONFIG!J6&amp;$C6))</f>
        <v>3</v>
      </c>
      <c r="G6" s="72" t="n">
        <f aca="false">D6*0.35+E6*0.35+F6*0.3</f>
        <v>3</v>
      </c>
      <c r="H6" s="71" t="str">
        <f aca="false">IF(G6&gt;4.99,"Exceptional",IF(G6&gt;3.99,"Exceed Expectation",IF(G6&gt;=2.99,"Meet Expectation",IF(G6&gt;1.9,"Below Expectation","Unsatisfactory"))))</f>
        <v>Meet Expectation</v>
      </c>
    </row>
    <row r="7" customFormat="false" ht="15" hidden="false" customHeight="true" outlineLevel="0" collapsed="false">
      <c r="A7" s="71" t="n">
        <f aca="false">CONFIG!A7</f>
        <v>6</v>
      </c>
      <c r="B7" s="71" t="str">
        <f aca="false">CONFIG!B7</f>
        <v>Satria Antaran Prima - Courier Service</v>
      </c>
      <c r="C7" s="71" t="n">
        <f aca="true">MATCH($B7,INDIRECT("'"&amp;CONFIG!D7&amp;"'!$F:$F"),0)</f>
        <v>7</v>
      </c>
      <c r="D7" s="72" t="n">
        <f aca="true">AVERAGE(INDIRECT("'"&amp;CONFIG!D7&amp;"'!"&amp;CONFIG!E7&amp;$C7&amp;":"&amp;CONFIG!F7&amp;$C7))</f>
        <v>3</v>
      </c>
      <c r="E7" s="72" t="n">
        <f aca="true">AVERAGE(INDIRECT("'"&amp;CONFIG!D7&amp;"'!"&amp;CONFIG!G7&amp;$C7&amp;":"&amp;CONFIG!H7&amp;$C7))</f>
        <v>3</v>
      </c>
      <c r="F7" s="72" t="n">
        <f aca="true">AVERAGE(INDIRECT("'"&amp;CONFIG!D7&amp;"'!"&amp;CONFIG!I7&amp;$C7&amp;":"&amp;CONFIG!J7&amp;$C7))</f>
        <v>3</v>
      </c>
      <c r="G7" s="72" t="n">
        <f aca="false">D7*0.35+E7*0.35+F7*0.3</f>
        <v>3</v>
      </c>
      <c r="H7" s="71" t="str">
        <f aca="false">IF(G7&gt;4.99,"Exceptional",IF(G7&gt;3.99,"Exceed Expectation",IF(G7&gt;=2.99,"Meet Expectation",IF(G7&gt;1.9,"Below Expectation","Unsatisfactory"))))</f>
        <v>Meet Expectation</v>
      </c>
    </row>
    <row r="8" customFormat="false" ht="15" hidden="false" customHeight="true" outlineLevel="0" collapsed="false">
      <c r="A8" s="71" t="n">
        <f aca="false">CONFIG!A8</f>
        <v>7</v>
      </c>
      <c r="B8" s="71" t="str">
        <f aca="false">CONFIG!B8</f>
        <v>Multifiling Mitra Indonesia - Record Management Service</v>
      </c>
      <c r="C8" s="71" t="n">
        <f aca="true">MATCH($B8,INDIRECT("'"&amp;CONFIG!D8&amp;"'!$F:$F"),0)</f>
        <v>8</v>
      </c>
      <c r="D8" s="72" t="n">
        <f aca="true">AVERAGE(INDIRECT("'"&amp;CONFIG!D8&amp;"'!"&amp;CONFIG!E8&amp;$C8&amp;":"&amp;CONFIG!F8&amp;$C8))</f>
        <v>3.09090909090909</v>
      </c>
      <c r="E8" s="72" t="n">
        <f aca="true">AVERAGE(INDIRECT("'"&amp;CONFIG!D8&amp;"'!"&amp;CONFIG!G8&amp;$C8&amp;":"&amp;CONFIG!H8&amp;$C8))</f>
        <v>3</v>
      </c>
      <c r="F8" s="72" t="n">
        <f aca="true">AVERAGE(INDIRECT("'"&amp;CONFIG!D8&amp;"'!"&amp;CONFIG!I8&amp;$C8&amp;":"&amp;CONFIG!J8&amp;$C8))</f>
        <v>3</v>
      </c>
      <c r="G8" s="72" t="n">
        <f aca="false">D8*0.35+E8*0.35+F8*0.3</f>
        <v>3.03181818181818</v>
      </c>
      <c r="H8" s="71" t="str">
        <f aca="false">IF(G8&gt;4.99,"Exceptional",IF(G8&gt;3.99,"Exceed Expectation",IF(G8&gt;=2.99,"Meet Expectation",IF(G8&gt;1.9,"Below Expectation","Unsatisfactory"))))</f>
        <v>Meet Expectation</v>
      </c>
    </row>
    <row r="9" customFormat="false" ht="15" hidden="false" customHeight="true" outlineLevel="0" collapsed="false">
      <c r="A9" s="71" t="n">
        <f aca="false">CONFIG!A9</f>
        <v>8</v>
      </c>
      <c r="B9" s="71" t="str">
        <f aca="false">CONFIG!B9</f>
        <v>Indosat - Layanan PBX berbasiskan cloud dengan Teknologi SIP Trunk</v>
      </c>
      <c r="C9" s="71" t="n">
        <f aca="true">MATCH($B9,INDIRECT("'"&amp;CONFIG!D9&amp;"'!$F:$F"),0)</f>
        <v>9</v>
      </c>
      <c r="D9" s="72" t="n">
        <f aca="true">AVERAGE(INDIRECT("'"&amp;CONFIG!D9&amp;"'!"&amp;CONFIG!E9&amp;$C9&amp;":"&amp;CONFIG!F9&amp;$C9))</f>
        <v>3.05263157894737</v>
      </c>
      <c r="E9" s="72" t="n">
        <f aca="true">AVERAGE(INDIRECT("'"&amp;CONFIG!D9&amp;"'!"&amp;CONFIG!G9&amp;$C9&amp;":"&amp;CONFIG!H9&amp;$C9))</f>
        <v>3</v>
      </c>
      <c r="F9" s="72" t="n">
        <f aca="true">AVERAGE(INDIRECT("'"&amp;CONFIG!D9&amp;"'!"&amp;CONFIG!I9&amp;$C9&amp;":"&amp;CONFIG!J9&amp;$C9))</f>
        <v>4</v>
      </c>
      <c r="G9" s="72" t="n">
        <f aca="false">D9*0.35+E9*0.35+F9*0.3</f>
        <v>3.31842105263158</v>
      </c>
      <c r="H9" s="71" t="str">
        <f aca="false">IF(G9&gt;4.99,"Exceptional",IF(G9&gt;3.99,"Exceed Expectation",IF(G9&gt;=2.99,"Meet Expectation",IF(G9&gt;1.9,"Below Expectation","Unsatisfactory"))))</f>
        <v>Meet Expectation</v>
      </c>
    </row>
    <row r="10" customFormat="false" ht="15" hidden="false" customHeight="true" outlineLevel="0" collapsed="false">
      <c r="A10" s="71" t="n">
        <f aca="false">CONFIG!A10</f>
        <v>9</v>
      </c>
      <c r="B10" s="71" t="str">
        <f aca="false">CONFIG!B10</f>
        <v>Ciptadra Softindo - Pemeliharaan Axits &amp; DMTM</v>
      </c>
      <c r="C10" s="71" t="n">
        <f aca="true">MATCH($B10,INDIRECT("'"&amp;CONFIG!D10&amp;"'!$F:$F"),0)</f>
        <v>10</v>
      </c>
      <c r="D10" s="72" t="n">
        <f aca="true">AVERAGE(INDIRECT("'"&amp;CONFIG!D10&amp;"'!"&amp;CONFIG!E10&amp;$C10&amp;":"&amp;CONFIG!F10&amp;$C10))</f>
        <v>4</v>
      </c>
      <c r="E10" s="72" t="n">
        <f aca="true">AVERAGE(INDIRECT("'"&amp;CONFIG!D10&amp;"'!"&amp;CONFIG!G10&amp;$C10&amp;":"&amp;CONFIG!H10&amp;$C10))</f>
        <v>4</v>
      </c>
      <c r="F10" s="72" t="n">
        <f aca="true">AVERAGE(INDIRECT("'"&amp;CONFIG!D10&amp;"'!"&amp;CONFIG!I10&amp;$C10&amp;":"&amp;CONFIG!J10&amp;$C10))</f>
        <v>4</v>
      </c>
      <c r="G10" s="72" t="n">
        <f aca="false">D10*0.35+E10*0.35+F10*0.3</f>
        <v>4</v>
      </c>
      <c r="H10" s="71" t="str">
        <f aca="false">IF(G10&gt;4.99,"Exceptional",IF(G10&gt;3.99,"Exceed Expectation",IF(G10&gt;=2.99,"Meet Expectation",IF(G10&gt;1.9,"Below Expectation","Unsatisfactory"))))</f>
        <v>Exceed Expectation</v>
      </c>
    </row>
    <row r="11" customFormat="false" ht="15" hidden="false" customHeight="true" outlineLevel="0" collapsed="false">
      <c r="A11" s="71" t="n">
        <f aca="false">CONFIG!A11</f>
        <v>10</v>
      </c>
      <c r="B11" s="71" t="str">
        <f aca="false">CONFIG!B11</f>
        <v>Target Sukses Sinergi - Email Marketing Automation</v>
      </c>
      <c r="C11" s="71" t="n">
        <f aca="true">MATCH($B11,INDIRECT("'"&amp;CONFIG!D11&amp;"'!$F:$F"),0)</f>
        <v>11</v>
      </c>
      <c r="D11" s="72" t="n">
        <f aca="true">AVERAGE(INDIRECT("'"&amp;CONFIG!D11&amp;"'!"&amp;CONFIG!E11&amp;$C11&amp;":"&amp;CONFIG!F11&amp;$C11))</f>
        <v>3.71428571428571</v>
      </c>
      <c r="E11" s="72" t="n">
        <f aca="true">AVERAGE(INDIRECT("'"&amp;CONFIG!D11&amp;"'!"&amp;CONFIG!G11&amp;$C11&amp;":"&amp;CONFIG!H11&amp;$C11))</f>
        <v>4</v>
      </c>
      <c r="F11" s="72" t="n">
        <f aca="true">AVERAGE(INDIRECT("'"&amp;CONFIG!D11&amp;"'!"&amp;CONFIG!I11&amp;$C11&amp;":"&amp;CONFIG!J11&amp;$C11))</f>
        <v>4</v>
      </c>
      <c r="G11" s="72" t="n">
        <f aca="false">D11*0.35+E11*0.35+F11*0.3</f>
        <v>3.9</v>
      </c>
      <c r="H11" s="71" t="str">
        <f aca="false">IF(G11&gt;4.99,"Exceptional",IF(G11&gt;3.99,"Exceed Expectation",IF(G11&gt;=2.99,"Meet Expectation",IF(G11&gt;1.9,"Below Expectation","Unsatisfactory"))))</f>
        <v>Meet Expectation</v>
      </c>
    </row>
    <row r="12" customFormat="false" ht="15" hidden="false" customHeight="true" outlineLevel="0" collapsed="false">
      <c r="A12" s="71" t="n">
        <f aca="false">CONFIG!A12</f>
        <v>11</v>
      </c>
      <c r="B12" s="71" t="str">
        <f aca="false">CONFIG!B12</f>
        <v>Inmotion Inovasi Teknologi - Jasa Aplikasi Chatbot dan Live Chat</v>
      </c>
      <c r="C12" s="71" t="n">
        <f aca="true">MATCH($B12,INDIRECT("'"&amp;CONFIG!D12&amp;"'!$F:$F"),0)</f>
        <v>12</v>
      </c>
      <c r="D12" s="72" t="n">
        <f aca="true">AVERAGE(INDIRECT("'"&amp;CONFIG!D12&amp;"'!"&amp;CONFIG!E12&amp;$C12&amp;":"&amp;CONFIG!F12&amp;$C12))</f>
        <v>4</v>
      </c>
      <c r="E12" s="72" t="n">
        <f aca="true">AVERAGE(INDIRECT("'"&amp;CONFIG!D12&amp;"'!"&amp;CONFIG!G12&amp;$C12&amp;":"&amp;CONFIG!H12&amp;$C12))</f>
        <v>4</v>
      </c>
      <c r="F12" s="72" t="n">
        <f aca="true">AVERAGE(INDIRECT("'"&amp;CONFIG!D12&amp;"'!"&amp;CONFIG!I12&amp;$C12&amp;":"&amp;CONFIG!J12&amp;$C12))</f>
        <v>4</v>
      </c>
      <c r="G12" s="72" t="n">
        <f aca="false">D12*0.35+E12*0.35+F12*0.3</f>
        <v>4</v>
      </c>
      <c r="H12" s="71" t="str">
        <f aca="false">IF(G12&gt;4.99,"Exceptional",IF(G12&gt;3.99,"Exceed Expectation",IF(G12&gt;=2.99,"Meet Expectation",IF(G12&gt;1.9,"Below Expectation","Unsatisfactory"))))</f>
        <v>Exceed Expectation</v>
      </c>
    </row>
    <row r="13" customFormat="false" ht="15" hidden="false" customHeight="true" outlineLevel="0" collapsed="false">
      <c r="A13" s="71" t="n">
        <f aca="false">CONFIG!A13</f>
        <v>12</v>
      </c>
      <c r="B13" s="71" t="str">
        <f aca="false">CONFIG!B13</f>
        <v>Mitra Integrasi Informatika - SFDC Maintenance</v>
      </c>
      <c r="C13" s="71" t="n">
        <f aca="true">MATCH($B13,INDIRECT("'"&amp;CONFIG!D13&amp;"'!$F:$F"),0)</f>
        <v>13</v>
      </c>
      <c r="D13" s="72" t="n">
        <f aca="true">AVERAGE(INDIRECT("'"&amp;CONFIG!D13&amp;"'!"&amp;CONFIG!E13&amp;$C13&amp;":"&amp;CONFIG!F13&amp;$C13))</f>
        <v>4.84615384615385</v>
      </c>
      <c r="E13" s="72" t="n">
        <f aca="true">AVERAGE(INDIRECT("'"&amp;CONFIG!D13&amp;"'!"&amp;CONFIG!G13&amp;$C13&amp;":"&amp;CONFIG!H13&amp;$C13))</f>
        <v>4.66666666666667</v>
      </c>
      <c r="F13" s="72" t="n">
        <f aca="true">AVERAGE(INDIRECT("'"&amp;CONFIG!D13&amp;"'!"&amp;CONFIG!I13&amp;$C13&amp;":"&amp;CONFIG!J13&amp;$C13))</f>
        <v>5</v>
      </c>
      <c r="G13" s="72" t="n">
        <f aca="false">D13*0.35+E13*0.35+F13*0.3</f>
        <v>4.82948717948718</v>
      </c>
      <c r="H13" s="71" t="str">
        <f aca="false">IF(G13&gt;4.99,"Exceptional",IF(G13&gt;3.99,"Exceed Expectation",IF(G13&gt;=2.99,"Meet Expectation",IF(G13&gt;1.9,"Below Expectation","Unsatisfactory"))))</f>
        <v>Exceed Expectation</v>
      </c>
    </row>
    <row r="14" customFormat="false" ht="15" hidden="false" customHeight="true" outlineLevel="0" collapsed="false">
      <c r="A14" s="71" t="n">
        <f aca="false">CONFIG!A14</f>
        <v>13</v>
      </c>
      <c r="B14" s="71" t="str">
        <f aca="false">CONFIG!B14</f>
        <v>Sutra Management Consultancies - Implementasi SAS IFRS17</v>
      </c>
      <c r="C14" s="71" t="n">
        <f aca="true">MATCH($B14,INDIRECT("'"&amp;CONFIG!D14&amp;"'!$F:$F"),0)</f>
        <v>2</v>
      </c>
      <c r="D14" s="72" t="n">
        <f aca="true">AVERAGE(INDIRECT("'"&amp;CONFIG!D14&amp;"'!"&amp;CONFIG!E14&amp;$C14&amp;":"&amp;CONFIG!F14&amp;$C14))</f>
        <v>3.42857142857143</v>
      </c>
      <c r="E14" s="72" t="n">
        <f aca="true">AVERAGE(INDIRECT("'"&amp;CONFIG!D14&amp;"'!"&amp;CONFIG!G14&amp;$C14&amp;":"&amp;CONFIG!H14&amp;$C14))</f>
        <v>3.66666666666667</v>
      </c>
      <c r="F14" s="72" t="n">
        <f aca="true">AVERAGE(INDIRECT("'"&amp;CONFIG!D14&amp;"'!"&amp;CONFIG!I14&amp;$C14&amp;":"&amp;CONFIG!J14&amp;$C14))</f>
        <v>4</v>
      </c>
      <c r="G14" s="72" t="n">
        <f aca="false">D14*0.35+E14*0.35+F14*0.3</f>
        <v>3.68333333333333</v>
      </c>
      <c r="H14" s="71" t="str">
        <f aca="false">IF(G14&gt;4.99,"Exceptional",IF(G14&gt;3.99,"Exceed Expectation",IF(G14&gt;=2.99,"Meet Expectation",IF(G14&gt;1.9,"Below Expectation","Unsatisfactory"))))</f>
        <v>Meet Expectation</v>
      </c>
    </row>
    <row r="15" customFormat="false" ht="15" hidden="false" customHeight="true" outlineLevel="0" collapsed="false">
      <c r="A15" s="71" t="n">
        <f aca="false">CONFIG!A15</f>
        <v>14</v>
      </c>
      <c r="B15" s="71" t="str">
        <f aca="false">CONFIG!B15</f>
        <v>Reycom Document Solution - Printing &amp; Data Management Center</v>
      </c>
      <c r="C15" s="71" t="n">
        <f aca="true">MATCH($B15,INDIRECT("'"&amp;CONFIG!D15&amp;"'!$F:$F"),0)</f>
        <v>3</v>
      </c>
      <c r="D15" s="72" t="n">
        <f aca="true">AVERAGE(INDIRECT("'"&amp;CONFIG!D15&amp;"'!"&amp;CONFIG!E15&amp;$C15&amp;":"&amp;CONFIG!F15&amp;$C15))</f>
        <v>4.33333333333333</v>
      </c>
      <c r="E15" s="72" t="n">
        <f aca="true">AVERAGE(INDIRECT("'"&amp;CONFIG!D15&amp;"'!"&amp;CONFIG!G15&amp;$C15&amp;":"&amp;CONFIG!H15&amp;$C15))</f>
        <v>5</v>
      </c>
      <c r="F15" s="72" t="n">
        <f aca="true">AVERAGE(INDIRECT("'"&amp;CONFIG!D15&amp;"'!"&amp;CONFIG!I15&amp;$C15&amp;":"&amp;CONFIG!J15&amp;$C15))</f>
        <v>5</v>
      </c>
      <c r="G15" s="72" t="n">
        <f aca="false">D15*0.35+E15*0.35+F15*0.3</f>
        <v>4.76666666666667</v>
      </c>
      <c r="H15" s="71" t="str">
        <f aca="false">IF(G15&gt;4.99,"Exceptional",IF(G15&gt;3.99,"Exceed Expectation",IF(G15&gt;=2.99,"Meet Expectation",IF(G15&gt;1.9,"Below Expectation","Unsatisfactory"))))</f>
        <v>Exceed Expectation</v>
      </c>
    </row>
    <row r="16" customFormat="false" ht="15" hidden="false" customHeight="true" outlineLevel="0" collapsed="false">
      <c r="A16" s="71" t="n">
        <f aca="false">CONFIG!A16</f>
        <v>15</v>
      </c>
      <c r="B16" s="71" t="str">
        <f aca="false">CONFIG!B16</f>
        <v>Arah Sejahtera Abadi - Perjanjian Sewa Menyewa</v>
      </c>
      <c r="C16" s="71" t="n">
        <f aca="true">MATCH($B16,INDIRECT("'"&amp;CONFIG!D16&amp;"'!$F:$F"),0)</f>
        <v>4</v>
      </c>
      <c r="D16" s="72" t="n">
        <f aca="true">AVERAGE(INDIRECT("'"&amp;CONFIG!D16&amp;"'!"&amp;CONFIG!E16&amp;$C16&amp;":"&amp;CONFIG!F16&amp;$C16))</f>
        <v>2.88888888888889</v>
      </c>
      <c r="E16" s="72" t="n">
        <f aca="true">AVERAGE(INDIRECT("'"&amp;CONFIG!D16&amp;"'!"&amp;CONFIG!G16&amp;$C16&amp;":"&amp;CONFIG!H16&amp;$C16))</f>
        <v>3</v>
      </c>
      <c r="F16" s="72" t="n">
        <f aca="true">AVERAGE(INDIRECT("'"&amp;CONFIG!D16&amp;"'!"&amp;CONFIG!I16&amp;$C16&amp;":"&amp;CONFIG!J16&amp;$C16))</f>
        <v>3</v>
      </c>
      <c r="G16" s="72" t="n">
        <f aca="false">D16*0.35+E16*0.35+F16*0.3</f>
        <v>2.96111111111111</v>
      </c>
      <c r="H16" s="71" t="str">
        <f aca="false">IF(G16&gt;4.99,"Exceptional",IF(G16&gt;3.99,"Exceed Expectation",IF(G16&gt;=2.99,"Meet Expectation",IF(G16&gt;1.9,"Below Expectation","Unsatisfactory"))))</f>
        <v>Below Expectation</v>
      </c>
    </row>
    <row r="17" customFormat="false" ht="15" hidden="false" customHeight="true" outlineLevel="0" collapsed="false">
      <c r="A17" s="71" t="n">
        <f aca="false">CONFIG!A17</f>
        <v>16</v>
      </c>
      <c r="B17" s="71" t="str">
        <f aca="false">CONFIG!B17</f>
        <v>Deloitte Consulting - Data Privacy &amp; Pelatihan Personal Data Protection (PDP)</v>
      </c>
      <c r="C17" s="71" t="n">
        <f aca="true">MATCH($B17,INDIRECT("'"&amp;CONFIG!D17&amp;"'!$F:$F"),0)</f>
        <v>5</v>
      </c>
      <c r="D17" s="72" t="n">
        <f aca="true">AVERAGE(INDIRECT("'"&amp;CONFIG!D17&amp;"'!"&amp;CONFIG!E17&amp;$C17&amp;":"&amp;CONFIG!F17&amp;$C17))</f>
        <v>3.18181818181818</v>
      </c>
      <c r="E17" s="72" t="n">
        <f aca="true">AVERAGE(INDIRECT("'"&amp;CONFIG!D17&amp;"'!"&amp;CONFIG!G17&amp;$C17&amp;":"&amp;CONFIG!H17&amp;$C17))</f>
        <v>3</v>
      </c>
      <c r="F17" s="72" t="n">
        <f aca="true">AVERAGE(INDIRECT("'"&amp;CONFIG!D17&amp;"'!"&amp;CONFIG!I17&amp;$C17&amp;":"&amp;CONFIG!J17&amp;$C17))</f>
        <v>3.33333333333333</v>
      </c>
      <c r="G17" s="72" t="n">
        <f aca="false">D17*0.35+E17*0.35+F17*0.3</f>
        <v>3.16363636363636</v>
      </c>
      <c r="H17" s="71" t="str">
        <f aca="false">IF(G17&gt;4.99,"Exceptional",IF(G17&gt;3.99,"Exceed Expectation",IF(G17&gt;=2.99,"Meet Expectation",IF(G17&gt;1.9,"Below Expectation","Unsatisfactory"))))</f>
        <v>Meet Expectation</v>
      </c>
    </row>
    <row r="18" customFormat="false" ht="15" hidden="false" customHeight="true" outlineLevel="0" collapsed="false">
      <c r="A18" s="71" t="n">
        <f aca="false">CONFIG!A18</f>
        <v>17</v>
      </c>
      <c r="B18" s="71" t="str">
        <f aca="false">CONFIG!B18</f>
        <v>TMF Indonesia - Payroll</v>
      </c>
      <c r="C18" s="71" t="n">
        <f aca="true">MATCH($B18,INDIRECT("'"&amp;CONFIG!D18&amp;"'!$F:$F"),0)</f>
        <v>6</v>
      </c>
      <c r="D18" s="72" t="n">
        <f aca="true">AVERAGE(INDIRECT("'"&amp;CONFIG!D18&amp;"'!"&amp;CONFIG!E18&amp;$C18&amp;":"&amp;CONFIG!F18&amp;$C18))</f>
        <v>3</v>
      </c>
      <c r="E18" s="72" t="n">
        <f aca="true">AVERAGE(INDIRECT("'"&amp;CONFIG!D18&amp;"'!"&amp;CONFIG!G18&amp;$C18&amp;":"&amp;CONFIG!H18&amp;$C18))</f>
        <v>3</v>
      </c>
      <c r="F18" s="72" t="n">
        <f aca="true">AVERAGE(INDIRECT("'"&amp;CONFIG!D18&amp;"'!"&amp;CONFIG!I18&amp;$C18&amp;":"&amp;CONFIG!J18&amp;$C18))</f>
        <v>3</v>
      </c>
      <c r="G18" s="72" t="n">
        <f aca="false">D18*0.35+E18*0.35+F18*0.3</f>
        <v>3</v>
      </c>
      <c r="H18" s="71" t="str">
        <f aca="false">IF(G18&gt;4.99,"Exceptional",IF(G18&gt;3.99,"Exceed Expectation",IF(G18&gt;=2.99,"Meet Expectation",IF(G18&gt;1.9,"Below Expectation","Unsatisfactory"))))</f>
        <v>Meet Expectation</v>
      </c>
    </row>
    <row r="19" customFormat="false" ht="15" hidden="false" customHeight="true" outlineLevel="0" collapsed="false">
      <c r="A19" s="71" t="n">
        <f aca="false">CONFIG!A19</f>
        <v>18</v>
      </c>
      <c r="B19" s="71" t="str">
        <f aca="false">CONFIG!B19</f>
        <v>Karya Putra Surya Gemilang - Telemarketing Revamp Project</v>
      </c>
      <c r="C19" s="71" t="n">
        <f aca="true">MATCH($B19,INDIRECT("'"&amp;CONFIG!D19&amp;"'!$F:$F"),0)</f>
        <v>7</v>
      </c>
      <c r="D19" s="72" t="n">
        <f aca="true">AVERAGE(INDIRECT("'"&amp;CONFIG!D19&amp;"'!"&amp;CONFIG!E19&amp;$C19&amp;":"&amp;CONFIG!F19&amp;$C19))</f>
        <v>3.09090909090909</v>
      </c>
      <c r="E19" s="72" t="n">
        <f aca="true">AVERAGE(INDIRECT("'"&amp;CONFIG!D19&amp;"'!"&amp;CONFIG!G19&amp;$C19&amp;":"&amp;CONFIG!H19&amp;$C19))</f>
        <v>3</v>
      </c>
      <c r="F19" s="72" t="n">
        <f aca="true">AVERAGE(INDIRECT("'"&amp;CONFIG!D19&amp;"'!"&amp;CONFIG!I19&amp;$C19&amp;":"&amp;CONFIG!J19&amp;$C19))</f>
        <v>3</v>
      </c>
      <c r="G19" s="72" t="n">
        <f aca="false">D19*0.35+E19*0.35+F19*0.3</f>
        <v>3.03181818181818</v>
      </c>
      <c r="H19" s="71" t="str">
        <f aca="false">IF(G19&gt;4.99,"Exceptional",IF(G19&gt;3.99,"Exceed Expectation",IF(G19&gt;=2.99,"Meet Expectation",IF(G19&gt;1.9,"Below Expectation","Unsatisfactory"))))</f>
        <v>Meet Expectation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6"/>
    <col collapsed="false" customWidth="true" hidden="false" outlineLevel="0" max="3" min="3" style="1" width="32"/>
    <col collapsed="false" customWidth="true" hidden="false" outlineLevel="0" max="4" min="4" style="1" width="26"/>
    <col collapsed="false" customWidth="true" hidden="false" outlineLevel="0" max="5" min="5" style="1" width="12"/>
    <col collapsed="false" customWidth="true" hidden="false" outlineLevel="0" max="6" min="6" style="1" width="18"/>
    <col collapsed="false" customWidth="true" hidden="false" outlineLevel="0" max="7" min="7" style="1" width="30"/>
    <col collapsed="false" customWidth="true" hidden="false" outlineLevel="0" max="8" min="8" style="1" width="45"/>
    <col collapsed="false" customWidth="true" hidden="false" outlineLevel="0" max="9" min="9" style="1" width="35"/>
    <col collapsed="false" customWidth="true" hidden="false" outlineLevel="0" max="10" min="10" style="1" width="20"/>
    <col collapsed="false" customWidth="true" hidden="false" outlineLevel="0" max="11" min="11" style="1" width="30"/>
  </cols>
  <sheetData>
    <row r="1" customFormat="false" ht="39.75" hidden="false" customHeight="true" outlineLevel="0" collapsed="false">
      <c r="A1" s="37" t="s">
        <v>78</v>
      </c>
      <c r="B1" s="37" t="s">
        <v>346</v>
      </c>
      <c r="C1" s="37" t="s">
        <v>56</v>
      </c>
      <c r="D1" s="37" t="s">
        <v>129</v>
      </c>
      <c r="E1" s="37" t="s">
        <v>130</v>
      </c>
      <c r="F1" s="37" t="s">
        <v>131</v>
      </c>
      <c r="G1" s="37" t="s">
        <v>347</v>
      </c>
      <c r="H1" s="37" t="s">
        <v>348</v>
      </c>
      <c r="I1" s="37" t="s">
        <v>349</v>
      </c>
      <c r="J1" s="37" t="s">
        <v>350</v>
      </c>
      <c r="K1" s="73" t="s">
        <v>351</v>
      </c>
    </row>
    <row r="2" customFormat="false" ht="60" hidden="false" customHeight="true" outlineLevel="0" collapsed="false">
      <c r="A2" s="69" t="n">
        <f aca="false">'SCORE CALC'!A2</f>
        <v>1</v>
      </c>
      <c r="B2" s="74" t="str">
        <f aca="false">TRIM(LEFT(CONFIG!B2,FIND(" - ",CONFIG!B2)-1))</f>
        <v>Itsec Asia</v>
      </c>
      <c r="C2" s="74" t="str">
        <f aca="false">TRIM(MID(CONFIG!B2,FIND(" - ",CONFIG!B2)+3,255))</f>
        <v>Penetration Testing</v>
      </c>
      <c r="D2" s="69" t="str">
        <f aca="false">CONFIG!C2</f>
        <v>fauzi.aryanto@axa-mandiri.co.id</v>
      </c>
      <c r="E2" s="75" t="n">
        <f aca="false">'SCORE CALC'!G2</f>
        <v>3</v>
      </c>
      <c r="F2" s="69" t="str">
        <f aca="false">'SCORE CALC'!H2</f>
        <v>Meet Expectation</v>
      </c>
      <c r="G2" s="74" t="str">
        <f aca="true">INDIRECT("'"&amp;CONFIG!D2&amp;"'!"&amp;CONFIG!K2&amp;'SCORE CALC'!C2)</f>
        <v>Currently no need improvement</v>
      </c>
      <c r="H2" s="74" t="str">
        <f aca="true">"Financial Assessment: "&amp;INDIRECT("'"&amp;CONFIG!D2&amp;"'!"&amp;CONFIG!L2&amp;'SCORE CALC'!C2)&amp;CHAR(10)&amp;"Reputational Assessment: "&amp;INDIRECT("'"&amp;CONFIG!D2&amp;"'!"&amp;CONFIG!M2&amp;'SCORE CALC'!C2)&amp;CHAR(10)&amp;"DPIA: "&amp;INDIRECT("'"&amp;CONFIG!D2&amp;"'!"&amp;CONFIG!N2&amp;'SCORE CALC'!C2)&amp;CHAR(10)&amp;"DPSQ: "&amp;INDIRECT("'"&amp;CONFIG!D2&amp;"'!"&amp;CONFIG!O2&amp;'SCORE CALC'!C2)&amp;CHAR(10)&amp;"VSDDT: "&amp;INDIRECT("'"&amp;CONFIG!D2&amp;"'!"&amp;CONFIG!P2&amp;'SCORE CALC'!C2)&amp;CHAR(10)&amp;"Action Plan: "&amp;INDIRECT("'"&amp;CONFIG!D2&amp;"'!"&amp;CONFIG!Q2&amp;'SCORE CALC'!C2)</f>
        <v>Financial Assessment: Yes
Reputational Assessment: Yes
DPIA: Not required – DPIA is not applicable for this service
DPSQ: Not required – DPSQ is not applicable for this service
VSDDT: Required – VSDDT completed and approved
Action Plan: Yes – All action items have been completed and coordinated with relevant SME</v>
      </c>
      <c r="I2" s="70"/>
      <c r="J2" s="70"/>
      <c r="K2" s="76" t="str">
        <f aca="false">IF(OR(F2="Below Expectation",F2="Unsatisfactory"),B2&amp;" - "&amp;C2,"")</f>
        <v/>
      </c>
    </row>
    <row r="3" customFormat="false" ht="60" hidden="false" customHeight="true" outlineLevel="0" collapsed="false">
      <c r="A3" s="69" t="n">
        <f aca="false">'SCORE CALC'!A3</f>
        <v>2</v>
      </c>
      <c r="B3" s="74" t="str">
        <f aca="false">TRIM(LEFT(CONFIG!B3,FIND(" - ",CONFIG!B3)-1))</f>
        <v>Iproteksi Telematika</v>
      </c>
      <c r="C3" s="74" t="str">
        <f aca="false">TRIM(MID(CONFIG!B3,FIND(" - ",CONFIG!B3)+3,255))</f>
        <v>Penetration Testing</v>
      </c>
      <c r="D3" s="69" t="str">
        <f aca="false">CONFIG!C3</f>
        <v>fauzi.aryanto@axa-mandiri.co.id</v>
      </c>
      <c r="E3" s="75" t="n">
        <f aca="false">'SCORE CALC'!G3</f>
        <v>4</v>
      </c>
      <c r="F3" s="69" t="str">
        <f aca="false">'SCORE CALC'!H3</f>
        <v>Exceed Expectation</v>
      </c>
      <c r="G3" s="74" t="str">
        <f aca="true">INDIRECT("'"&amp;CONFIG!D3&amp;"'!"&amp;CONFIG!K3&amp;'SCORE CALC'!C3)</f>
        <v>no need improvement</v>
      </c>
      <c r="H3" s="74" t="str">
        <f aca="true">"Financial Assessment: "&amp;INDIRECT("'"&amp;CONFIG!D3&amp;"'!"&amp;CONFIG!L3&amp;'SCORE CALC'!C3)&amp;CHAR(10)&amp;"Reputational Assessment: "&amp;INDIRECT("'"&amp;CONFIG!D3&amp;"'!"&amp;CONFIG!M3&amp;'SCORE CALC'!C3)&amp;CHAR(10)&amp;"DPIA: "&amp;INDIRECT("'"&amp;CONFIG!D3&amp;"'!"&amp;CONFIG!N3&amp;'SCORE CALC'!C3)&amp;CHAR(10)&amp;"DPSQ: "&amp;INDIRECT("'"&amp;CONFIG!D3&amp;"'!"&amp;CONFIG!O3&amp;'SCORE CALC'!C3)&amp;CHAR(10)&amp;"VSDDT: "&amp;INDIRECT("'"&amp;CONFIG!D3&amp;"'!"&amp;CONFIG!P3&amp;'SCORE CALC'!C3)&amp;CHAR(10)&amp;"Action Plan: "&amp;INDIRECT("'"&amp;CONFIG!D3&amp;"'!"&amp;CONFIG!Q3&amp;'SCORE CALC'!C3)</f>
        <v>Financial Assessment: Yes
Reputational Assessment: Yes
DPIA: Not required – DPIA is not applicable for this service
DPSQ: Not required – DPSQ is not applicable for this service
VSDDT: Required – VSDDT completed and approved
Action Plan: Yes – All action items have been completed and coordinated with relevant SME</v>
      </c>
      <c r="I3" s="70"/>
      <c r="J3" s="70"/>
      <c r="K3" s="76" t="str">
        <f aca="false">IF(OR(F3="Below Expectation",F3="Unsatisfactory"),B3&amp;" - "&amp;C3,"")</f>
        <v/>
      </c>
    </row>
    <row r="4" customFormat="false" ht="60" hidden="false" customHeight="true" outlineLevel="0" collapsed="false">
      <c r="A4" s="69" t="n">
        <f aca="false">'SCORE CALC'!A4</f>
        <v>3</v>
      </c>
      <c r="B4" s="74" t="str">
        <f aca="false">TRIM(LEFT(CONFIG!B4,FIND(" - ",CONFIG!B4)-1))</f>
        <v>FPT Metrodata</v>
      </c>
      <c r="C4" s="74" t="str">
        <f aca="false">TRIM(MID(CONFIG!B4,FIND(" - ",CONFIG!B4)+3,255))</f>
        <v>Penetration Testing</v>
      </c>
      <c r="D4" s="69" t="str">
        <f aca="false">CONFIG!C4</f>
        <v>fauzi.aryanto@axa-mandiri.co.id</v>
      </c>
      <c r="E4" s="75" t="n">
        <f aca="false">'SCORE CALC'!G4</f>
        <v>3</v>
      </c>
      <c r="F4" s="69" t="str">
        <f aca="false">'SCORE CALC'!H4</f>
        <v>Meet Expectation</v>
      </c>
      <c r="G4" s="74" t="str">
        <f aca="true">INDIRECT("'"&amp;CONFIG!D4&amp;"'!"&amp;CONFIG!K4&amp;'SCORE CALC'!C4)</f>
        <v>No need improvement</v>
      </c>
      <c r="H4" s="74" t="str">
        <f aca="true">"Financial Assessment: "&amp;INDIRECT("'"&amp;CONFIG!D4&amp;"'!"&amp;CONFIG!L4&amp;'SCORE CALC'!C4)&amp;CHAR(10)&amp;"Reputational Assessment: "&amp;INDIRECT("'"&amp;CONFIG!D4&amp;"'!"&amp;CONFIG!M4&amp;'SCORE CALC'!C4)&amp;CHAR(10)&amp;"DPIA: "&amp;INDIRECT("'"&amp;CONFIG!D4&amp;"'!"&amp;CONFIG!N4&amp;'SCORE CALC'!C4)&amp;CHAR(10)&amp;"DPSQ: "&amp;INDIRECT("'"&amp;CONFIG!D4&amp;"'!"&amp;CONFIG!O4&amp;'SCORE CALC'!C4)&amp;CHAR(10)&amp;"VSDDT: "&amp;INDIRECT("'"&amp;CONFIG!D4&amp;"'!"&amp;CONFIG!P4&amp;'SCORE CALC'!C4)&amp;CHAR(10)&amp;"Action Plan: "&amp;INDIRECT("'"&amp;CONFIG!D4&amp;"'!"&amp;CONFIG!Q4&amp;'SCORE CALC'!C4)</f>
        <v>Financial Assessment: Yes
Reputational Assessment: Yes
DPIA: Not required – DPIA is not applicable for this service
DPSQ: Not required – DPSQ is not applicable for this service
VSDDT: Required – VSDDT completed and approved
Action Plan: Yes – All action items have been completed and coordinated with relevant SME</v>
      </c>
      <c r="I4" s="70"/>
      <c r="J4" s="70"/>
      <c r="K4" s="76" t="str">
        <f aca="false">IF(OR(F4="Below Expectation",F4="Unsatisfactory"),B4&amp;" - "&amp;C4,"")</f>
        <v/>
      </c>
    </row>
    <row r="5" customFormat="false" ht="60" hidden="false" customHeight="true" outlineLevel="0" collapsed="false">
      <c r="A5" s="69" t="n">
        <f aca="false">'SCORE CALC'!A5</f>
        <v>4</v>
      </c>
      <c r="B5" s="74" t="str">
        <f aca="false">TRIM(LEFT(CONFIG!B5,FIND(" - ",CONFIG!B5)-1))</f>
        <v>Satria Antaran Prima</v>
      </c>
      <c r="C5" s="74" t="str">
        <f aca="false">TRIM(MID(CONFIG!B5,FIND(" - ",CONFIG!B5)+3,255))</f>
        <v>Mailing Room</v>
      </c>
      <c r="D5" s="69" t="str">
        <f aca="false">CONFIG!C5</f>
        <v>ibnu.kumala@axa-mandiri.co.id</v>
      </c>
      <c r="E5" s="75" t="n">
        <f aca="false">'SCORE CALC'!G5</f>
        <v>3.40416666666667</v>
      </c>
      <c r="F5" s="69" t="str">
        <f aca="false">'SCORE CALC'!H5</f>
        <v>Meet Expectation</v>
      </c>
      <c r="G5" s="74" t="str">
        <f aca="true">INDIRECT("'"&amp;CONFIG!D5&amp;"'!"&amp;CONFIG!K5&amp;'SCORE CALC'!C5)</f>
        <v>Over all mailing ok, please improve coordinated with Headoffice team for reduce complain/misscomm (ex case overseas shipment )</v>
      </c>
      <c r="H5" s="74" t="str">
        <f aca="true">"Financial Assessment: "&amp;INDIRECT("'"&amp;CONFIG!D5&amp;"'!"&amp;CONFIG!L5&amp;'SCORE CALC'!C5)&amp;CHAR(10)&amp;"Reputational Assessment: "&amp;INDIRECT("'"&amp;CONFIG!D5&amp;"'!"&amp;CONFIG!M5&amp;'SCORE CALC'!C5)&amp;CHAR(10)&amp;"DPIA: "&amp;INDIRECT("'"&amp;CONFIG!D5&amp;"'!"&amp;CONFIG!N5&amp;'SCORE CALC'!C5)&amp;CHAR(10)&amp;"DPSQ: "&amp;INDIRECT("'"&amp;CONFIG!D5&amp;"'!"&amp;CONFIG!O5&amp;'SCORE CALC'!C5)&amp;CHAR(10)&amp;"VSDDT: "&amp;INDIRECT("'"&amp;CONFIG!D5&amp;"'!"&amp;CONFIG!P5&amp;'SCORE CALC'!C5)&amp;CHAR(10)&amp;"Action Plan: "&amp;INDIRECT("'"&amp;CONFIG!D5&amp;"'!"&amp;CONFIG!Q5&amp;'SCORE CALC'!C5)</f>
        <v>Financial Assessment: Yes
Reputational Assessment: Yes
DPIA: Required – DPIA completed and approved
DPSQ: Not required – DPSQ is not applicable for this service
VSDDT: Required – VSDDT completed and approved
Action Plan: Yes – All action items have been completed and coordinated with relevant SME</v>
      </c>
      <c r="I5" s="70"/>
      <c r="J5" s="70"/>
      <c r="K5" s="76" t="str">
        <f aca="false">IF(OR(F5="Below Expectation",F5="Unsatisfactory"),B5&amp;" - "&amp;C5,"")</f>
        <v/>
      </c>
    </row>
    <row r="6" customFormat="false" ht="60" hidden="false" customHeight="true" outlineLevel="0" collapsed="false">
      <c r="A6" s="69" t="n">
        <f aca="false">'SCORE CALC'!A6</f>
        <v>5</v>
      </c>
      <c r="B6" s="74" t="str">
        <f aca="false">TRIM(LEFT(CONFIG!B6,FIND(" - ",CONFIG!B6)-1))</f>
        <v>Informasi Teknologi Indonesia</v>
      </c>
      <c r="C6" s="74" t="str">
        <f aca="false">TRIM(MID(CONFIG!B6,FIND(" - ",CONFIG!B6)+3,255))</f>
        <v>SMS Broadcast</v>
      </c>
      <c r="D6" s="69" t="str">
        <f aca="false">CONFIG!C6</f>
        <v>fifin.sarinurlita@axa-mandiri.co.id</v>
      </c>
      <c r="E6" s="75" t="n">
        <f aca="false">'SCORE CALC'!G6</f>
        <v>3</v>
      </c>
      <c r="F6" s="69" t="str">
        <f aca="false">'SCORE CALC'!H6</f>
        <v>Meet Expectation</v>
      </c>
      <c r="G6" s="74" t="str">
        <f aca="true">INDIRECT("'"&amp;CONFIG!D6&amp;"'!"&amp;CONFIG!K6&amp;'SCORE CALC'!C6)</f>
        <v>Jatis has provided good service throughout this year</v>
      </c>
      <c r="H6" s="74" t="str">
        <f aca="true">"Financial Assessment: "&amp;INDIRECT("'"&amp;CONFIG!D6&amp;"'!"&amp;CONFIG!L6&amp;'SCORE CALC'!C6)&amp;CHAR(10)&amp;"Reputational Assessment: "&amp;INDIRECT("'"&amp;CONFIG!D6&amp;"'!"&amp;CONFIG!M6&amp;'SCORE CALC'!C6)&amp;CHAR(10)&amp;"DPIA: "&amp;INDIRECT("'"&amp;CONFIG!D6&amp;"'!"&amp;CONFIG!N6&amp;'SCORE CALC'!C6)&amp;CHAR(10)&amp;"DPSQ: "&amp;INDIRECT("'"&amp;CONFIG!D6&amp;"'!"&amp;CONFIG!O6&amp;'SCORE CALC'!C6)&amp;CHAR(10)&amp;"VSDDT: "&amp;INDIRECT("'"&amp;CONFIG!D6&amp;"'!"&amp;CONFIG!P6&amp;'SCORE CALC'!C6)&amp;CHAR(10)&amp;"Action Plan: "&amp;INDIRECT("'"&amp;CONFIG!D6&amp;"'!"&amp;CONFIG!Q6&amp;'SCORE CALC'!C6)</f>
        <v>Financial Assessment: Yes
Reputational Assessment: Yes
DPIA: Required – DPIA completed and approved
DPSQ: Required – DPSQ completed and approved
VSDDT: Required – VSDDT completed and approved
Action Plan: No – No action items were required</v>
      </c>
      <c r="I6" s="70"/>
      <c r="J6" s="70"/>
      <c r="K6" s="76" t="str">
        <f aca="false">IF(OR(F6="Below Expectation",F6="Unsatisfactory"),B6&amp;" - "&amp;C6,"")</f>
        <v/>
      </c>
    </row>
    <row r="7" customFormat="false" ht="60" hidden="false" customHeight="true" outlineLevel="0" collapsed="false">
      <c r="A7" s="69" t="n">
        <f aca="false">'SCORE CALC'!A7</f>
        <v>6</v>
      </c>
      <c r="B7" s="74" t="str">
        <f aca="false">TRIM(LEFT(CONFIG!B7,FIND(" - ",CONFIG!B7)-1))</f>
        <v>Satria Antaran Prima</v>
      </c>
      <c r="C7" s="74" t="str">
        <f aca="false">TRIM(MID(CONFIG!B7,FIND(" - ",CONFIG!B7)+3,255))</f>
        <v>Courier Service</v>
      </c>
      <c r="D7" s="69" t="str">
        <f aca="false">CONFIG!C7</f>
        <v>fifin.sarinurlita@axa-mandiri.co.id</v>
      </c>
      <c r="E7" s="75" t="n">
        <f aca="false">'SCORE CALC'!G7</f>
        <v>3</v>
      </c>
      <c r="F7" s="69" t="str">
        <f aca="false">'SCORE CALC'!H7</f>
        <v>Meet Expectation</v>
      </c>
      <c r="G7" s="74" t="str">
        <f aca="true">INDIRECT("'"&amp;CONFIG!D7&amp;"'!"&amp;CONFIG!K7&amp;'SCORE CALC'!C7)</f>
        <v>SAP has provided excellent service throughout this year</v>
      </c>
      <c r="H7" s="74" t="str">
        <f aca="true">"Financial Assessment: "&amp;INDIRECT("'"&amp;CONFIG!D7&amp;"'!"&amp;CONFIG!L7&amp;'SCORE CALC'!C7)&amp;CHAR(10)&amp;"Reputational Assessment: "&amp;INDIRECT("'"&amp;CONFIG!D7&amp;"'!"&amp;CONFIG!M7&amp;'SCORE CALC'!C7)&amp;CHAR(10)&amp;"DPIA: "&amp;INDIRECT("'"&amp;CONFIG!D7&amp;"'!"&amp;CONFIG!N7&amp;'SCORE CALC'!C7)&amp;CHAR(10)&amp;"DPSQ: "&amp;INDIRECT("'"&amp;CONFIG!D7&amp;"'!"&amp;CONFIG!O7&amp;'SCORE CALC'!C7)&amp;CHAR(10)&amp;"VSDDT: "&amp;INDIRECT("'"&amp;CONFIG!D7&amp;"'!"&amp;CONFIG!P7&amp;'SCORE CALC'!C7)&amp;CHAR(10)&amp;"Action Plan: "&amp;INDIRECT("'"&amp;CONFIG!D7&amp;"'!"&amp;CONFIG!Q7&amp;'SCORE CALC'!C7)</f>
        <v>Financial Assessment: Yes
Reputational Assessment: Yes
DPIA: Required – DPIA completed and approved
DPSQ: Required – DPSQ completed and approved
VSDDT: Required – VSDDT completed and approved
Action Plan: Yes – Action items identified, but follow‑up and coordination with relevant SME is still required</v>
      </c>
      <c r="I7" s="70"/>
      <c r="J7" s="70"/>
      <c r="K7" s="76" t="str">
        <f aca="false">IF(OR(F7="Below Expectation",F7="Unsatisfactory"),B7&amp;" - "&amp;C7,"")</f>
        <v/>
      </c>
    </row>
    <row r="8" customFormat="false" ht="60" hidden="false" customHeight="true" outlineLevel="0" collapsed="false">
      <c r="A8" s="69" t="n">
        <f aca="false">'SCORE CALC'!A8</f>
        <v>7</v>
      </c>
      <c r="B8" s="74" t="str">
        <f aca="false">TRIM(LEFT(CONFIG!B8,FIND(" - ",CONFIG!B8)-1))</f>
        <v>Multifiling Mitra Indonesia</v>
      </c>
      <c r="C8" s="74" t="str">
        <f aca="false">TRIM(MID(CONFIG!B8,FIND(" - ",CONFIG!B8)+3,255))</f>
        <v>Record Management Service</v>
      </c>
      <c r="D8" s="69" t="str">
        <f aca="false">CONFIG!C8</f>
        <v>ibnu.kumala@axa-mandiri.co.id</v>
      </c>
      <c r="E8" s="75" t="n">
        <f aca="false">'SCORE CALC'!G8</f>
        <v>3.03181818181818</v>
      </c>
      <c r="F8" s="69" t="str">
        <f aca="false">'SCORE CALC'!H8</f>
        <v>Meet Expectation</v>
      </c>
      <c r="G8" s="74" t="str">
        <f aca="true">INDIRECT("'"&amp;CONFIG!D8&amp;"'!"&amp;CONFIG!K8&amp;'SCORE CALC'!C8)</f>
        <v>impprove innovation dan simplyfy process</v>
      </c>
      <c r="H8" s="74" t="str">
        <f aca="true">"Financial Assessment: "&amp;INDIRECT("'"&amp;CONFIG!D8&amp;"'!"&amp;CONFIG!L8&amp;'SCORE CALC'!C8)&amp;CHAR(10)&amp;"Reputational Assessment: "&amp;INDIRECT("'"&amp;CONFIG!D8&amp;"'!"&amp;CONFIG!M8&amp;'SCORE CALC'!C8)&amp;CHAR(10)&amp;"DPIA: "&amp;INDIRECT("'"&amp;CONFIG!D8&amp;"'!"&amp;CONFIG!N8&amp;'SCORE CALC'!C8)&amp;CHAR(10)&amp;"DPSQ: "&amp;INDIRECT("'"&amp;CONFIG!D8&amp;"'!"&amp;CONFIG!O8&amp;'SCORE CALC'!C8)&amp;CHAR(10)&amp;"VSDDT: "&amp;INDIRECT("'"&amp;CONFIG!D8&amp;"'!"&amp;CONFIG!P8&amp;'SCORE CALC'!C8)&amp;CHAR(10)&amp;"Action Plan: "&amp;INDIRECT("'"&amp;CONFIG!D8&amp;"'!"&amp;CONFIG!Q8&amp;'SCORE CALC'!C8)</f>
        <v>Financial Assessment: Yes
Reputational Assessment: Yes
DPIA: Required – DPIA completed and approved
DPSQ: Required – DPSQ completed and approved
VSDDT: Required – VSDDT completed and approved
Action Plan: Yes – All action items have been completed and coordinated with relevant SME</v>
      </c>
      <c r="I8" s="70"/>
      <c r="J8" s="70"/>
      <c r="K8" s="76" t="str">
        <f aca="false">IF(OR(F8="Below Expectation",F8="Unsatisfactory"),B8&amp;" - "&amp;C8,"")</f>
        <v/>
      </c>
    </row>
    <row r="9" customFormat="false" ht="60" hidden="false" customHeight="true" outlineLevel="0" collapsed="false">
      <c r="A9" s="69" t="n">
        <f aca="false">'SCORE CALC'!A9</f>
        <v>8</v>
      </c>
      <c r="B9" s="74" t="str">
        <f aca="false">TRIM(LEFT(CONFIG!B9,FIND(" - ",CONFIG!B9)-1))</f>
        <v>Indosat</v>
      </c>
      <c r="C9" s="74" t="str">
        <f aca="false">TRIM(MID(CONFIG!B9,FIND(" - ",CONFIG!B9)+3,255))</f>
        <v>Layanan PBX berbasiskan cloud dengan Teknologi SIP Trunk</v>
      </c>
      <c r="D9" s="69" t="str">
        <f aca="false">CONFIG!C9</f>
        <v>nuril.hudha@axa-mandiri.co.id</v>
      </c>
      <c r="E9" s="75" t="n">
        <f aca="false">'SCORE CALC'!G9</f>
        <v>3.31842105263158</v>
      </c>
      <c r="F9" s="69" t="str">
        <f aca="false">'SCORE CALC'!H9</f>
        <v>Meet Expectation</v>
      </c>
      <c r="G9" s="74" t="str">
        <f aca="true">INDIRECT("'"&amp;CONFIG!D9&amp;"'!"&amp;CONFIG!K9&amp;'SCORE CALC'!C9)</f>
        <v>The performance is getting better, please keep improve the performance.</v>
      </c>
      <c r="H9" s="74" t="str">
        <f aca="true">"Financial Assessment: "&amp;INDIRECT("'"&amp;CONFIG!D9&amp;"'!"&amp;CONFIG!L9&amp;'SCORE CALC'!C9)&amp;CHAR(10)&amp;"Reputational Assessment: "&amp;INDIRECT("'"&amp;CONFIG!D9&amp;"'!"&amp;CONFIG!M9&amp;'SCORE CALC'!C9)&amp;CHAR(10)&amp;"DPIA: "&amp;INDIRECT("'"&amp;CONFIG!D9&amp;"'!"&amp;CONFIG!N9&amp;'SCORE CALC'!C9)&amp;CHAR(10)&amp;"DPSQ: "&amp;INDIRECT("'"&amp;CONFIG!D9&amp;"'!"&amp;CONFIG!O9&amp;'SCORE CALC'!C9)&amp;CHAR(10)&amp;"VSDDT: "&amp;INDIRECT("'"&amp;CONFIG!D9&amp;"'!"&amp;CONFIG!P9&amp;'SCORE CALC'!C9)&amp;CHAR(10)&amp;"Action Plan: "&amp;INDIRECT("'"&amp;CONFIG!D9&amp;"'!"&amp;CONFIG!Q9&amp;'SCORE CALC'!C9)</f>
        <v>Financial Assessment: No
Reputational Assessment: Yes
DPIA: Required – DPIA completed and approved
DPSQ: Not required – DPSQ is not applicable for this service
VSDDT: Required – VSDDT completed and approved
Action Plan: Yes – Action items identified, but follow‑up and coordination with relevant SME is still required</v>
      </c>
      <c r="I9" s="70"/>
      <c r="J9" s="70"/>
      <c r="K9" s="76" t="str">
        <f aca="false">IF(OR(F9="Below Expectation",F9="Unsatisfactory"),B9&amp;" - "&amp;C9,"")</f>
        <v/>
      </c>
    </row>
    <row r="10" customFormat="false" ht="60" hidden="false" customHeight="true" outlineLevel="0" collapsed="false">
      <c r="A10" s="69" t="n">
        <f aca="false">'SCORE CALC'!A10</f>
        <v>9</v>
      </c>
      <c r="B10" s="74" t="str">
        <f aca="false">TRIM(LEFT(CONFIG!B10,FIND(" - ",CONFIG!B10)-1))</f>
        <v>Ciptadra Softindo</v>
      </c>
      <c r="C10" s="74" t="str">
        <f aca="false">TRIM(MID(CONFIG!B10,FIND(" - ",CONFIG!B10)+3,255))</f>
        <v>Pemeliharaan Axits &amp; DMTM</v>
      </c>
      <c r="D10" s="69" t="str">
        <f aca="false">CONFIG!C10</f>
        <v>raninta.mahardi@axa-mandiri.co.id</v>
      </c>
      <c r="E10" s="75" t="n">
        <f aca="false">'SCORE CALC'!G10</f>
        <v>4</v>
      </c>
      <c r="F10" s="69" t="str">
        <f aca="false">'SCORE CALC'!H10</f>
        <v>Exceed Expectation</v>
      </c>
      <c r="G10" s="74" t="str">
        <f aca="true">INDIRECT("'"&amp;CONFIG!D10&amp;"'!"&amp;CONFIG!K10&amp;'SCORE CALC'!C10)</f>
        <v>Performance is Good</v>
      </c>
      <c r="H10" s="74" t="str">
        <f aca="true">"Financial Assessment: "&amp;INDIRECT("'"&amp;CONFIG!D10&amp;"'!"&amp;CONFIG!L10&amp;'SCORE CALC'!C10)&amp;CHAR(10)&amp;"Reputational Assessment: "&amp;INDIRECT("'"&amp;CONFIG!D10&amp;"'!"&amp;CONFIG!M10&amp;'SCORE CALC'!C10)&amp;CHAR(10)&amp;"DPIA: "&amp;INDIRECT("'"&amp;CONFIG!D10&amp;"'!"&amp;CONFIG!N10&amp;'SCORE CALC'!C10)&amp;CHAR(10)&amp;"DPSQ: "&amp;INDIRECT("'"&amp;CONFIG!D10&amp;"'!"&amp;CONFIG!O10&amp;'SCORE CALC'!C10)&amp;CHAR(10)&amp;"VSDDT: "&amp;INDIRECT("'"&amp;CONFIG!D10&amp;"'!"&amp;CONFIG!P10&amp;'SCORE CALC'!C10)&amp;CHAR(10)&amp;"Action Plan: "&amp;INDIRECT("'"&amp;CONFIG!D10&amp;"'!"&amp;CONFIG!Q10&amp;'SCORE CALC'!C10)</f>
        <v>Financial Assessment: Yes
Reputational Assessment: Yes
DPIA: Required – DPIA completed and approved
DPSQ: Required – DPSQ completed and approved
VSDDT: Required – VSDDT completed and approved
Action Plan: Yes – All action items have been completed and coordinated with relevant SME</v>
      </c>
      <c r="I10" s="70"/>
      <c r="J10" s="70"/>
      <c r="K10" s="76" t="str">
        <f aca="false">IF(OR(F10="Below Expectation",F10="Unsatisfactory"),B10&amp;" - "&amp;C10,"")</f>
        <v/>
      </c>
    </row>
    <row r="11" customFormat="false" ht="60" hidden="false" customHeight="true" outlineLevel="0" collapsed="false">
      <c r="A11" s="69" t="n">
        <f aca="false">'SCORE CALC'!A11</f>
        <v>10</v>
      </c>
      <c r="B11" s="74" t="str">
        <f aca="false">TRIM(LEFT(CONFIG!B11,FIND(" - ",CONFIG!B11)-1))</f>
        <v>Target Sukses Sinergi</v>
      </c>
      <c r="C11" s="74" t="str">
        <f aca="false">TRIM(MID(CONFIG!B11,FIND(" - ",CONFIG!B11)+3,255))</f>
        <v>Email Marketing Automation</v>
      </c>
      <c r="D11" s="69" t="str">
        <f aca="false">CONFIG!C11</f>
        <v>bella.depari@axa-mandiri.co.id</v>
      </c>
      <c r="E11" s="75" t="n">
        <f aca="false">'SCORE CALC'!G11</f>
        <v>3.9</v>
      </c>
      <c r="F11" s="69" t="str">
        <f aca="false">'SCORE CALC'!H11</f>
        <v>Meet Expectation</v>
      </c>
      <c r="G11" s="74" t="str">
        <f aca="true">INDIRECT("'"&amp;CONFIG!D11&amp;"'!"&amp;CONFIG!K11&amp;'SCORE CALC'!C11)</f>
        <v>Harganya buat next contrac please murahin ya</v>
      </c>
      <c r="H11" s="74" t="str">
        <f aca="true">"Financial Assessment: "&amp;INDIRECT("'"&amp;CONFIG!D11&amp;"'!"&amp;CONFIG!L11&amp;'SCORE CALC'!C11)&amp;CHAR(10)&amp;"Reputational Assessment: "&amp;INDIRECT("'"&amp;CONFIG!D11&amp;"'!"&amp;CONFIG!M11&amp;'SCORE CALC'!C11)&amp;CHAR(10)&amp;"DPIA: "&amp;INDIRECT("'"&amp;CONFIG!D11&amp;"'!"&amp;CONFIG!N11&amp;'SCORE CALC'!C11)&amp;CHAR(10)&amp;"DPSQ: "&amp;INDIRECT("'"&amp;CONFIG!D11&amp;"'!"&amp;CONFIG!O11&amp;'SCORE CALC'!C11)&amp;CHAR(10)&amp;"VSDDT: "&amp;INDIRECT("'"&amp;CONFIG!D11&amp;"'!"&amp;CONFIG!P11&amp;'SCORE CALC'!C11)&amp;CHAR(10)&amp;"Action Plan: "&amp;INDIRECT("'"&amp;CONFIG!D11&amp;"'!"&amp;CONFIG!Q11&amp;'SCORE CALC'!C11)</f>
        <v>Financial Assessment: Yes
Reputational Assessment: Yes
DPIA: Required – DPIA completed and approved
DPSQ: Required – DPSQ completed and approved
VSDDT: Required – VSDDT completed and approved
Action Plan: Yes – All action items have been completed and coordinated with relevant SME</v>
      </c>
      <c r="I11" s="70"/>
      <c r="J11" s="70"/>
      <c r="K11" s="76" t="str">
        <f aca="false">IF(OR(F11="Below Expectation",F11="Unsatisfactory"),B11&amp;" - "&amp;C11,"")</f>
        <v/>
      </c>
    </row>
    <row r="12" customFormat="false" ht="60" hidden="false" customHeight="true" outlineLevel="0" collapsed="false">
      <c r="A12" s="69" t="n">
        <f aca="false">'SCORE CALC'!A12</f>
        <v>11</v>
      </c>
      <c r="B12" s="74" t="str">
        <f aca="false">TRIM(LEFT(CONFIG!B12,FIND(" - ",CONFIG!B12)-1))</f>
        <v>Inmotion Inovasi Teknologi</v>
      </c>
      <c r="C12" s="74" t="str">
        <f aca="false">TRIM(MID(CONFIG!B12,FIND(" - ",CONFIG!B12)+3,255))</f>
        <v>Jasa Aplikasi Chatbot dan Live Chat</v>
      </c>
      <c r="D12" s="69" t="str">
        <f aca="false">CONFIG!C12</f>
        <v>djoko.djoko@axa-mandiri.co.id</v>
      </c>
      <c r="E12" s="75" t="n">
        <f aca="false">'SCORE CALC'!G12</f>
        <v>4</v>
      </c>
      <c r="F12" s="69" t="str">
        <f aca="false">'SCORE CALC'!H12</f>
        <v>Exceed Expectation</v>
      </c>
      <c r="G12" s="74" t="str">
        <f aca="true">INDIRECT("'"&amp;CONFIG!D12&amp;"'!"&amp;CONFIG!K12&amp;'SCORE CALC'!C12)</f>
        <v>continue performing thorough and frequent periodic checks to ensure that during service hours, there are no issues that could disrupt operations and resolve the remaining unresolved 401 issue
Berikan umpan balik Anda tentang BizChat</v>
      </c>
      <c r="H12" s="74" t="str">
        <f aca="true">"Financial Assessment: "&amp;INDIRECT("'"&amp;CONFIG!D12&amp;"'!"&amp;CONFIG!L12&amp;'SCORE CALC'!C12)&amp;CHAR(10)&amp;"Reputational Assessment: "&amp;INDIRECT("'"&amp;CONFIG!D12&amp;"'!"&amp;CONFIG!M12&amp;'SCORE CALC'!C12)&amp;CHAR(10)&amp;"DPIA: "&amp;INDIRECT("'"&amp;CONFIG!D12&amp;"'!"&amp;CONFIG!N12&amp;'SCORE CALC'!C12)&amp;CHAR(10)&amp;"DPSQ: "&amp;INDIRECT("'"&amp;CONFIG!D12&amp;"'!"&amp;CONFIG!O12&amp;'SCORE CALC'!C12)&amp;CHAR(10)&amp;"VSDDT: "&amp;INDIRECT("'"&amp;CONFIG!D12&amp;"'!"&amp;CONFIG!P12&amp;'SCORE CALC'!C12)&amp;CHAR(10)&amp;"Action Plan: "&amp;INDIRECT("'"&amp;CONFIG!D12&amp;"'!"&amp;CONFIG!Q12&amp;'SCORE CALC'!C12)</f>
        <v>Financial Assessment: Yes
Reputational Assessment: Yes
DPIA: Required – DPIA completed and approved
DPSQ: Required – DPSQ not yet completed or approved
VSDDT: Required – VSDDT completed and approved
Action Plan: Yes – All action items have been completed and coordinated with relevant SME</v>
      </c>
      <c r="I12" s="70"/>
      <c r="J12" s="70"/>
      <c r="K12" s="76" t="str">
        <f aca="false">IF(OR(F12="Below Expectation",F12="Unsatisfactory"),B12&amp;" - "&amp;C12,"")</f>
        <v/>
      </c>
    </row>
    <row r="13" customFormat="false" ht="60" hidden="false" customHeight="true" outlineLevel="0" collapsed="false">
      <c r="A13" s="69" t="n">
        <f aca="false">'SCORE CALC'!A13</f>
        <v>12</v>
      </c>
      <c r="B13" s="74" t="str">
        <f aca="false">TRIM(LEFT(CONFIG!B13,FIND(" - ",CONFIG!B13)-1))</f>
        <v>Mitra Integrasi Informatika</v>
      </c>
      <c r="C13" s="74" t="str">
        <f aca="false">TRIM(MID(CONFIG!B13,FIND(" - ",CONFIG!B13)+3,255))</f>
        <v>SFDC Maintenance</v>
      </c>
      <c r="D13" s="69" t="str">
        <f aca="false">CONFIG!C13</f>
        <v>chandra.putra@axa-mandiri.co.id</v>
      </c>
      <c r="E13" s="75" t="n">
        <f aca="false">'SCORE CALC'!G13</f>
        <v>4.82948717948718</v>
      </c>
      <c r="F13" s="69" t="str">
        <f aca="false">'SCORE CALC'!H13</f>
        <v>Exceed Expectation</v>
      </c>
      <c r="G13" s="74" t="str">
        <f aca="true">INDIRECT("'"&amp;CONFIG!D13&amp;"'!"&amp;CONFIG!K13&amp;'SCORE CALC'!C13)</f>
        <v>verall, the level of support has been satisfactory. The improvements carried out were highly effective, and several demands were consistent with the initial assessment and expectations.</v>
      </c>
      <c r="H13" s="74" t="str">
        <f aca="true">"Financial Assessment: "&amp;INDIRECT("'"&amp;CONFIG!D13&amp;"'!"&amp;CONFIG!L13&amp;'SCORE CALC'!C13)&amp;CHAR(10)&amp;"Reputational Assessment: "&amp;INDIRECT("'"&amp;CONFIG!D13&amp;"'!"&amp;CONFIG!M13&amp;'SCORE CALC'!C13)&amp;CHAR(10)&amp;"DPIA: "&amp;INDIRECT("'"&amp;CONFIG!D13&amp;"'!"&amp;CONFIG!N13&amp;'SCORE CALC'!C13)&amp;CHAR(10)&amp;"DPSQ: "&amp;INDIRECT("'"&amp;CONFIG!D13&amp;"'!"&amp;CONFIG!O13&amp;'SCORE CALC'!C13)&amp;CHAR(10)&amp;"VSDDT: "&amp;INDIRECT("'"&amp;CONFIG!D13&amp;"'!"&amp;CONFIG!P13&amp;'SCORE CALC'!C13)&amp;CHAR(10)&amp;"Action Plan: "&amp;INDIRECT("'"&amp;CONFIG!D13&amp;"'!"&amp;CONFIG!Q13&amp;'SCORE CALC'!C13)</f>
        <v>Financial Assessment: No
Reputational Assessment: No
DPIA: Not required – DPIA is not applicable for this service
DPSQ: Not required – DPSQ is not applicable for this service
VSDDT: Required – VSDDT not yet completed or approved
Action Plan: No – No action items were required</v>
      </c>
      <c r="I13" s="70"/>
      <c r="J13" s="70"/>
      <c r="K13" s="76" t="str">
        <f aca="false">IF(OR(F13="Below Expectation",F13="Unsatisfactory"),B13&amp;" - "&amp;C13,"")</f>
        <v/>
      </c>
    </row>
    <row r="14" customFormat="false" ht="60" hidden="false" customHeight="true" outlineLevel="0" collapsed="false">
      <c r="A14" s="69" t="n">
        <f aca="false">'SCORE CALC'!A14</f>
        <v>13</v>
      </c>
      <c r="B14" s="74" t="str">
        <f aca="false">TRIM(LEFT(CONFIG!B14,FIND(" - ",CONFIG!B14)-1))</f>
        <v>Sutra Management Consultancies</v>
      </c>
      <c r="C14" s="74" t="str">
        <f aca="false">TRIM(MID(CONFIG!B14,FIND(" - ",CONFIG!B14)+3,255))</f>
        <v>Implementasi SAS IFRS17</v>
      </c>
      <c r="D14" s="69" t="str">
        <f aca="false">CONFIG!C14</f>
        <v>andreas.boedijanto@axa-mandiri.co.id</v>
      </c>
      <c r="E14" s="75" t="n">
        <f aca="false">'SCORE CALC'!G14</f>
        <v>3.68333333333333</v>
      </c>
      <c r="F14" s="69" t="str">
        <f aca="false">'SCORE CALC'!H14</f>
        <v>Meet Expectation</v>
      </c>
      <c r="G14" s="74" t="str">
        <f aca="true">INDIRECT("'"&amp;CONFIG!D14&amp;"'!"&amp;CONFIG!K14&amp;'SCORE CALC'!C14)</f>
        <v>Local vendor Sutra is affiliated with SAS Technology which is known as more expensive system compared to other vendors during the Vendor Bidding Process. However, SAS Technology System has been used in few well-known insurance companies in Indonesia, so it is easier to get the review and information; mostly positive.   </v>
      </c>
      <c r="H14" s="74" t="str">
        <f aca="true">"Financial Assessment: "&amp;INDIRECT("'"&amp;CONFIG!D14&amp;"'!"&amp;CONFIG!L14&amp;'SCORE CALC'!C14)&amp;CHAR(10)&amp;"Reputational Assessment: "&amp;INDIRECT("'"&amp;CONFIG!D14&amp;"'!"&amp;CONFIG!M14&amp;'SCORE CALC'!C14)&amp;CHAR(10)&amp;"DPIA: "&amp;INDIRECT("'"&amp;CONFIG!D14&amp;"'!"&amp;CONFIG!N14&amp;'SCORE CALC'!C14)&amp;CHAR(10)&amp;"DPSQ: "&amp;INDIRECT("'"&amp;CONFIG!D14&amp;"'!"&amp;CONFIG!O14&amp;'SCORE CALC'!C14)&amp;CHAR(10)&amp;"VSDDT: "&amp;INDIRECT("'"&amp;CONFIG!D14&amp;"'!"&amp;CONFIG!P14&amp;'SCORE CALC'!C14)&amp;CHAR(10)&amp;"Action Plan: "&amp;INDIRECT("'"&amp;CONFIG!D14&amp;"'!"&amp;CONFIG!Q14&amp;'SCORE CALC'!C14)</f>
        <v>Financial Assessment: Yes
Reputational Assessment: Yes
DPIA: Not required – DPIA is not applicable for this service
DPSQ: Not required – DPSQ is not applicable for this service
VSDDT: Required – VSDDT completed and approved
Action Plan: Yes – Action items identified, but follow‑up and coordination with relevant SME is still required</v>
      </c>
      <c r="I14" s="70"/>
      <c r="J14" s="70"/>
      <c r="K14" s="76" t="str">
        <f aca="false">IF(OR(F14="Below Expectation",F14="Unsatisfactory"),B14&amp;" - "&amp;C14,"")</f>
        <v/>
      </c>
    </row>
    <row r="15" customFormat="false" ht="60" hidden="false" customHeight="true" outlineLevel="0" collapsed="false">
      <c r="A15" s="69" t="n">
        <f aca="false">'SCORE CALC'!A15</f>
        <v>14</v>
      </c>
      <c r="B15" s="74" t="str">
        <f aca="false">TRIM(LEFT(CONFIG!B15,FIND(" - ",CONFIG!B15)-1))</f>
        <v>Reycom Document Solution</v>
      </c>
      <c r="C15" s="74" t="str">
        <f aca="false">TRIM(MID(CONFIG!B15,FIND(" - ",CONFIG!B15)+3,255))</f>
        <v>Printing &amp; Data Management Center</v>
      </c>
      <c r="D15" s="69" t="str">
        <f aca="false">CONFIG!C15</f>
        <v>yulia.kurniati@axa-mandiri.co.id</v>
      </c>
      <c r="E15" s="75" t="n">
        <f aca="false">'SCORE CALC'!G15</f>
        <v>4.76666666666667</v>
      </c>
      <c r="F15" s="69" t="str">
        <f aca="false">'SCORE CALC'!H15</f>
        <v>Exceed Expectation</v>
      </c>
      <c r="G15" s="74" t="str">
        <f aca="true">INDIRECT("'"&amp;CONFIG!D15&amp;"'!"&amp;CONFIG!K15&amp;'SCORE CALC'!C15)</f>
        <v>More inovation for 2026</v>
      </c>
      <c r="H15" s="74" t="str">
        <f aca="true">"Financial Assessment: "&amp;INDIRECT("'"&amp;CONFIG!D15&amp;"'!"&amp;CONFIG!L15&amp;'SCORE CALC'!C15)&amp;CHAR(10)&amp;"Reputational Assessment: "&amp;INDIRECT("'"&amp;CONFIG!D15&amp;"'!"&amp;CONFIG!M15&amp;'SCORE CALC'!C15)&amp;CHAR(10)&amp;"DPIA: "&amp;INDIRECT("'"&amp;CONFIG!D15&amp;"'!"&amp;CONFIG!N15&amp;'SCORE CALC'!C15)&amp;CHAR(10)&amp;"DPSQ: "&amp;INDIRECT("'"&amp;CONFIG!D15&amp;"'!"&amp;CONFIG!O15&amp;'SCORE CALC'!C15)&amp;CHAR(10)&amp;"VSDDT: "&amp;INDIRECT("'"&amp;CONFIG!D15&amp;"'!"&amp;CONFIG!P15&amp;'SCORE CALC'!C15)&amp;CHAR(10)&amp;"Action Plan: "&amp;INDIRECT("'"&amp;CONFIG!D15&amp;"'!"&amp;CONFIG!Q15&amp;'SCORE CALC'!C15)</f>
        <v>Financial Assessment: Yes
Reputational Assessment: Yes
DPIA: Required – DPIA completed and approved
DPSQ: Required – DPSQ completed and approved
VSDDT: Required – VSDDT completed and approved
Action Plan: No – No action items were required</v>
      </c>
      <c r="I15" s="70"/>
      <c r="J15" s="70"/>
      <c r="K15" s="76" t="str">
        <f aca="false">IF(OR(F15="Below Expectation",F15="Unsatisfactory"),B15&amp;" - "&amp;C15,"")</f>
        <v/>
      </c>
    </row>
    <row r="16" customFormat="false" ht="60" hidden="false" customHeight="true" outlineLevel="0" collapsed="false">
      <c r="A16" s="69" t="n">
        <f aca="false">'SCORE CALC'!A16</f>
        <v>15</v>
      </c>
      <c r="B16" s="74" t="str">
        <f aca="false">TRIM(LEFT(CONFIG!B16,FIND(" - ",CONFIG!B16)-1))</f>
        <v>Arah Sejahtera Abadi</v>
      </c>
      <c r="C16" s="74" t="str">
        <f aca="false">TRIM(MID(CONFIG!B16,FIND(" - ",CONFIG!B16)+3,255))</f>
        <v>Perjanjian Sewa Menyewa</v>
      </c>
      <c r="D16" s="69" t="str">
        <f aca="false">CONFIG!C16</f>
        <v>ibnu.kumala@axa-mandiri.co.id</v>
      </c>
      <c r="E16" s="75" t="n">
        <f aca="false">'SCORE CALC'!G16</f>
        <v>2.96111111111111</v>
      </c>
      <c r="F16" s="69" t="str">
        <f aca="false">'SCORE CALC'!H16</f>
        <v>Below Expectation</v>
      </c>
      <c r="G16" s="74" t="str">
        <f aca="true">INDIRECT("'"&amp;CONFIG!D16&amp;"'!"&amp;CONFIG!K16&amp;'SCORE CALC'!C16)</f>
        <v>Improve quality service, specially for leakage, </v>
      </c>
      <c r="H16" s="74" t="str">
        <f aca="true">"Financial Assessment: "&amp;INDIRECT("'"&amp;CONFIG!D16&amp;"'!"&amp;CONFIG!L16&amp;'SCORE CALC'!C16)&amp;CHAR(10)&amp;"Reputational Assessment: "&amp;INDIRECT("'"&amp;CONFIG!D16&amp;"'!"&amp;CONFIG!M16&amp;'SCORE CALC'!C16)&amp;CHAR(10)&amp;"DPIA: "&amp;INDIRECT("'"&amp;CONFIG!D16&amp;"'!"&amp;CONFIG!N16&amp;'SCORE CALC'!C16)&amp;CHAR(10)&amp;"DPSQ: "&amp;INDIRECT("'"&amp;CONFIG!D16&amp;"'!"&amp;CONFIG!O16&amp;'SCORE CALC'!C16)&amp;CHAR(10)&amp;"VSDDT: "&amp;INDIRECT("'"&amp;CONFIG!D16&amp;"'!"&amp;CONFIG!P16&amp;'SCORE CALC'!C16)&amp;CHAR(10)&amp;"Action Plan: "&amp;INDIRECT("'"&amp;CONFIG!D16&amp;"'!"&amp;CONFIG!Q16&amp;'SCORE CALC'!C16)</f>
        <v>Financial Assessment: No
Reputational Assessment: No
DPIA: Not required – DPIA is not applicable for this service
DPSQ: Not required – DPSQ is not applicable for this service
VSDDT: Not required – VSDDT is not applicable for this service
Action Plan: No – No action items were required</v>
      </c>
      <c r="I16" s="70"/>
      <c r="J16" s="70"/>
      <c r="K16" s="76" t="str">
        <f aca="false">IF(OR(F16="Below Expectation",F16="Unsatisfactory"),B16&amp;" - "&amp;C16,"")</f>
        <v>Arah Sejahtera Abadi - Perjanjian Sewa Menyewa</v>
      </c>
    </row>
    <row r="17" customFormat="false" ht="60" hidden="false" customHeight="true" outlineLevel="0" collapsed="false">
      <c r="A17" s="69" t="n">
        <f aca="false">'SCORE CALC'!A17</f>
        <v>16</v>
      </c>
      <c r="B17" s="74" t="str">
        <f aca="false">TRIM(LEFT(CONFIG!B17,FIND(" - ",CONFIG!B17)-1))</f>
        <v>Deloitte Consulting</v>
      </c>
      <c r="C17" s="74" t="str">
        <f aca="false">TRIM(MID(CONFIG!B17,FIND(" - ",CONFIG!B17)+3,255))</f>
        <v>Data Privacy &amp; Pelatihan Personal Data Protection (PDP)</v>
      </c>
      <c r="D17" s="69" t="str">
        <f aca="false">CONFIG!C17</f>
        <v>sony.nugroho@axa-mandiri.co.id</v>
      </c>
      <c r="E17" s="75" t="n">
        <f aca="false">'SCORE CALC'!G17</f>
        <v>3.16363636363636</v>
      </c>
      <c r="F17" s="69" t="str">
        <f aca="false">'SCORE CALC'!H17</f>
        <v>Meet Expectation</v>
      </c>
      <c r="G17" s="74" t="str">
        <f aca="true">INDIRECT("'"&amp;CONFIG!D17&amp;"'!"&amp;CONFIG!K17&amp;'SCORE CALC'!C17)</f>
        <v>Need more improvement regarding initiative to take mitigation/preventive action to prevent the problem from recurring/current issue.</v>
      </c>
      <c r="H17" s="74" t="str">
        <f aca="true">"Financial Assessment: "&amp;INDIRECT("'"&amp;CONFIG!D17&amp;"'!"&amp;CONFIG!L17&amp;'SCORE CALC'!C17)&amp;CHAR(10)&amp;"Reputational Assessment: "&amp;INDIRECT("'"&amp;CONFIG!D17&amp;"'!"&amp;CONFIG!M17&amp;'SCORE CALC'!C17)&amp;CHAR(10)&amp;"DPIA: "&amp;INDIRECT("'"&amp;CONFIG!D17&amp;"'!"&amp;CONFIG!N17&amp;'SCORE CALC'!C17)&amp;CHAR(10)&amp;"DPSQ: "&amp;INDIRECT("'"&amp;CONFIG!D17&amp;"'!"&amp;CONFIG!O17&amp;'SCORE CALC'!C17)&amp;CHAR(10)&amp;"VSDDT: "&amp;INDIRECT("'"&amp;CONFIG!D17&amp;"'!"&amp;CONFIG!P17&amp;'SCORE CALC'!C17)&amp;CHAR(10)&amp;"Action Plan: "&amp;INDIRECT("'"&amp;CONFIG!D17&amp;"'!"&amp;CONFIG!Q17&amp;'SCORE CALC'!C17)</f>
        <v>Financial Assessment: Yes
Reputational Assessment: Yes
DPIA: Required – DPIA completed and approved
DPSQ: 
VSDDT: Required – VSDDT completed and approved
Action Plan: No – No action items were required</v>
      </c>
      <c r="I17" s="70"/>
      <c r="J17" s="70"/>
      <c r="K17" s="76" t="str">
        <f aca="false">IF(OR(F17="Below Expectation",F17="Unsatisfactory"),B17&amp;" - "&amp;C17,"")</f>
        <v/>
      </c>
    </row>
    <row r="18" customFormat="false" ht="60" hidden="false" customHeight="true" outlineLevel="0" collapsed="false">
      <c r="A18" s="69" t="n">
        <f aca="false">'SCORE CALC'!A18</f>
        <v>17</v>
      </c>
      <c r="B18" s="74" t="str">
        <f aca="false">TRIM(LEFT(CONFIG!B18,FIND(" - ",CONFIG!B18)-1))</f>
        <v>TMF Indonesia</v>
      </c>
      <c r="C18" s="74" t="str">
        <f aca="false">TRIM(MID(CONFIG!B18,FIND(" - ",CONFIG!B18)+3,255))</f>
        <v>Payroll</v>
      </c>
      <c r="D18" s="69" t="str">
        <f aca="false">CONFIG!C18</f>
        <v>enung.haryati@axa-mandiri.co.id</v>
      </c>
      <c r="E18" s="75" t="n">
        <f aca="false">'SCORE CALC'!G18</f>
        <v>3</v>
      </c>
      <c r="F18" s="69" t="str">
        <f aca="false">'SCORE CALC'!H18</f>
        <v>Meet Expectation</v>
      </c>
      <c r="G18" s="74" t="str">
        <f aca="true">INDIRECT("'"&amp;CONFIG!D18&amp;"'!"&amp;CONFIG!K18&amp;'SCORE CALC'!C18)</f>
        <v>Always check and recheck the task in internal PIC TMF before send the report to AMFS PIC </v>
      </c>
      <c r="H18" s="74" t="str">
        <f aca="true">"Financial Assessment: "&amp;INDIRECT("'"&amp;CONFIG!D18&amp;"'!"&amp;CONFIG!L18&amp;'SCORE CALC'!C18)&amp;CHAR(10)&amp;"Reputational Assessment: "&amp;INDIRECT("'"&amp;CONFIG!D18&amp;"'!"&amp;CONFIG!M18&amp;'SCORE CALC'!C18)&amp;CHAR(10)&amp;"DPIA: "&amp;INDIRECT("'"&amp;CONFIG!D18&amp;"'!"&amp;CONFIG!N18&amp;'SCORE CALC'!C18)&amp;CHAR(10)&amp;"DPSQ: "&amp;INDIRECT("'"&amp;CONFIG!D18&amp;"'!"&amp;CONFIG!O18&amp;'SCORE CALC'!C18)&amp;CHAR(10)&amp;"VSDDT: "&amp;INDIRECT("'"&amp;CONFIG!D18&amp;"'!"&amp;CONFIG!P18&amp;'SCORE CALC'!C18)&amp;CHAR(10)&amp;"Action Plan: "&amp;INDIRECT("'"&amp;CONFIG!D18&amp;"'!"&amp;CONFIG!Q18&amp;'SCORE CALC'!C18)</f>
        <v>Financial Assessment: 
Reputational Assessment: 
DPIA: 
DPSQ: 
VSDDT: 
Action Plan: </v>
      </c>
      <c r="I18" s="70"/>
      <c r="J18" s="70"/>
      <c r="K18" s="76" t="str">
        <f aca="false">IF(OR(F18="Below Expectation",F18="Unsatisfactory"),B18&amp;" - "&amp;C18,"")</f>
        <v/>
      </c>
    </row>
    <row r="19" customFormat="false" ht="60" hidden="false" customHeight="true" outlineLevel="0" collapsed="false">
      <c r="A19" s="69" t="n">
        <f aca="false">'SCORE CALC'!A19</f>
        <v>18</v>
      </c>
      <c r="B19" s="74" t="str">
        <f aca="false">TRIM(LEFT(CONFIG!B19,FIND(" - ",CONFIG!B19)-1))</f>
        <v>Karya Putra Surya Gemilang</v>
      </c>
      <c r="C19" s="74" t="str">
        <f aca="false">TRIM(MID(CONFIG!B19,FIND(" - ",CONFIG!B19)+3,255))</f>
        <v>Telemarketing Revamp Project</v>
      </c>
      <c r="D19" s="69" t="str">
        <f aca="false">CONFIG!C19</f>
        <v>reza.resdilana@axa-mandiri.co.id</v>
      </c>
      <c r="E19" s="75" t="n">
        <f aca="false">'SCORE CALC'!G19</f>
        <v>3.03181818181818</v>
      </c>
      <c r="F19" s="69" t="str">
        <f aca="false">'SCORE CALC'!H19</f>
        <v>Meet Expectation</v>
      </c>
      <c r="G19" s="74" t="str">
        <f aca="true">INDIRECT("'"&amp;CONFIG!D19&amp;"'!"&amp;CONFIG!K19&amp;'SCORE CALC'!C19)</f>
        <v>Diharapkan untuk tim project yang diassign apabila CR sudah di signoff agar availibility dari resource ready</v>
      </c>
      <c r="H19" s="74" t="str">
        <f aca="true">"Financial Assessment: "&amp;INDIRECT("'"&amp;CONFIG!D19&amp;"'!"&amp;CONFIG!L19&amp;'SCORE CALC'!C19)&amp;CHAR(10)&amp;"Reputational Assessment: "&amp;INDIRECT("'"&amp;CONFIG!D19&amp;"'!"&amp;CONFIG!M19&amp;'SCORE CALC'!C19)&amp;CHAR(10)&amp;"DPIA: "&amp;INDIRECT("'"&amp;CONFIG!D19&amp;"'!"&amp;CONFIG!N19&amp;'SCORE CALC'!C19)&amp;CHAR(10)&amp;"DPSQ: "&amp;INDIRECT("'"&amp;CONFIG!D19&amp;"'!"&amp;CONFIG!O19&amp;'SCORE CALC'!C19)&amp;CHAR(10)&amp;"VSDDT: "&amp;INDIRECT("'"&amp;CONFIG!D19&amp;"'!"&amp;CONFIG!P19&amp;'SCORE CALC'!C19)&amp;CHAR(10)&amp;"Action Plan: "&amp;INDIRECT("'"&amp;CONFIG!D19&amp;"'!"&amp;CONFIG!Q19&amp;'SCORE CALC'!C19)</f>
        <v>Financial Assessment: Yes
Reputational Assessment: Yes
DPIA: Required – DPIA completed and approved
DPSQ: Required – DPSQ not yet completed or approved
VSDDT: Required – VSDDT completed and approved
Action Plan: Yes – All action items have been completed and coordinated with relevant SME</v>
      </c>
      <c r="I19" s="70"/>
      <c r="J19" s="70"/>
      <c r="K19" s="76" t="str">
        <f aca="false">IF(OR(F19="Below Expectation",F19="Unsatisfactory"),B19&amp;" - "&amp;C19,"")</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GS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sheetData>
    <row r="1" customFormat="false" ht="60" hidden="false" customHeight="true" outlineLevel="0" collapsed="false">
      <c r="A1" s="77" t="s">
        <v>352</v>
      </c>
      <c r="B1" s="77" t="s">
        <v>353</v>
      </c>
      <c r="C1" s="77" t="s">
        <v>354</v>
      </c>
      <c r="D1" s="77" t="s">
        <v>355</v>
      </c>
      <c r="E1" s="77" t="s">
        <v>356</v>
      </c>
      <c r="F1" s="77" t="s">
        <v>357</v>
      </c>
      <c r="G1" s="77" t="s">
        <v>358</v>
      </c>
      <c r="H1" s="77" t="s">
        <v>359</v>
      </c>
      <c r="I1" s="77" t="s">
        <v>360</v>
      </c>
      <c r="J1" s="77" t="s">
        <v>361</v>
      </c>
      <c r="K1" s="77" t="s">
        <v>362</v>
      </c>
      <c r="L1" s="77" t="s">
        <v>363</v>
      </c>
      <c r="M1" s="77" t="s">
        <v>364</v>
      </c>
      <c r="N1" s="77" t="s">
        <v>365</v>
      </c>
      <c r="O1" s="77" t="s">
        <v>366</v>
      </c>
      <c r="P1" s="77" t="s">
        <v>367</v>
      </c>
      <c r="Q1" s="77" t="s">
        <v>368</v>
      </c>
      <c r="R1" s="77" t="s">
        <v>369</v>
      </c>
      <c r="S1" s="77" t="s">
        <v>370</v>
      </c>
      <c r="T1" s="77" t="s">
        <v>371</v>
      </c>
      <c r="U1" s="77" t="s">
        <v>372</v>
      </c>
      <c r="V1" s="77" t="s">
        <v>373</v>
      </c>
      <c r="W1" s="77" t="s">
        <v>374</v>
      </c>
      <c r="X1" s="77" t="s">
        <v>375</v>
      </c>
      <c r="Y1" s="77" t="s">
        <v>376</v>
      </c>
      <c r="Z1" s="77" t="s">
        <v>377</v>
      </c>
      <c r="AA1" s="77" t="s">
        <v>378</v>
      </c>
      <c r="AB1" s="77" t="s">
        <v>379</v>
      </c>
      <c r="AC1" s="77" t="s">
        <v>380</v>
      </c>
      <c r="AD1" s="77" t="s">
        <v>381</v>
      </c>
      <c r="AE1" s="77" t="s">
        <v>382</v>
      </c>
      <c r="AF1" s="77" t="s">
        <v>383</v>
      </c>
      <c r="AG1" s="77" t="s">
        <v>384</v>
      </c>
      <c r="AH1" s="77" t="s">
        <v>385</v>
      </c>
      <c r="AI1" s="77" t="s">
        <v>386</v>
      </c>
      <c r="AJ1" s="77" t="s">
        <v>387</v>
      </c>
      <c r="AK1" s="77" t="s">
        <v>388</v>
      </c>
      <c r="AL1" s="77" t="s">
        <v>389</v>
      </c>
      <c r="AM1" s="77" t="s">
        <v>390</v>
      </c>
      <c r="AN1" s="77" t="s">
        <v>391</v>
      </c>
      <c r="AO1" s="77" t="s">
        <v>392</v>
      </c>
      <c r="AP1" s="77" t="s">
        <v>393</v>
      </c>
      <c r="AQ1" s="77" t="s">
        <v>394</v>
      </c>
      <c r="AR1" s="77" t="s">
        <v>395</v>
      </c>
      <c r="AS1" s="77" t="s">
        <v>396</v>
      </c>
      <c r="AT1" s="77" t="s">
        <v>397</v>
      </c>
      <c r="AU1" s="77" t="s">
        <v>398</v>
      </c>
      <c r="AV1" s="77" t="s">
        <v>399</v>
      </c>
      <c r="AW1" s="77" t="s">
        <v>400</v>
      </c>
      <c r="AX1" s="77" t="s">
        <v>401</v>
      </c>
      <c r="AY1" s="77" t="s">
        <v>402</v>
      </c>
      <c r="AZ1" s="77" t="s">
        <v>403</v>
      </c>
      <c r="BA1" s="77" t="s">
        <v>404</v>
      </c>
      <c r="BB1" s="77" t="s">
        <v>405</v>
      </c>
      <c r="BC1" s="77" t="s">
        <v>406</v>
      </c>
      <c r="BD1" s="77" t="s">
        <v>407</v>
      </c>
      <c r="BE1" s="77" t="s">
        <v>408</v>
      </c>
      <c r="BF1" s="77" t="s">
        <v>409</v>
      </c>
      <c r="BG1" s="77" t="s">
        <v>410</v>
      </c>
      <c r="BH1" s="77" t="s">
        <v>411</v>
      </c>
      <c r="BI1" s="77" t="s">
        <v>412</v>
      </c>
      <c r="BJ1" s="77" t="s">
        <v>413</v>
      </c>
      <c r="BK1" s="77" t="s">
        <v>414</v>
      </c>
      <c r="BL1" s="77" t="s">
        <v>415</v>
      </c>
      <c r="BM1" s="77" t="s">
        <v>416</v>
      </c>
      <c r="BN1" s="77" t="s">
        <v>417</v>
      </c>
      <c r="BO1" s="77" t="s">
        <v>418</v>
      </c>
      <c r="BP1" s="77" t="s">
        <v>419</v>
      </c>
      <c r="BQ1" s="77" t="s">
        <v>420</v>
      </c>
      <c r="BR1" s="77" t="s">
        <v>421</v>
      </c>
      <c r="BS1" s="77" t="s">
        <v>422</v>
      </c>
      <c r="BT1" s="77" t="s">
        <v>423</v>
      </c>
      <c r="BU1" s="77" t="s">
        <v>424</v>
      </c>
      <c r="BV1" s="77" t="s">
        <v>425</v>
      </c>
      <c r="BW1" s="77" t="s">
        <v>426</v>
      </c>
      <c r="BX1" s="77" t="s">
        <v>427</v>
      </c>
      <c r="BY1" s="77" t="s">
        <v>428</v>
      </c>
      <c r="BZ1" s="77" t="s">
        <v>429</v>
      </c>
      <c r="CA1" s="77" t="s">
        <v>430</v>
      </c>
      <c r="CB1" s="77" t="s">
        <v>431</v>
      </c>
      <c r="CC1" s="77" t="s">
        <v>432</v>
      </c>
      <c r="CD1" s="77" t="s">
        <v>433</v>
      </c>
      <c r="CE1" s="77" t="s">
        <v>434</v>
      </c>
      <c r="CF1" s="77" t="s">
        <v>435</v>
      </c>
      <c r="CG1" s="77" t="s">
        <v>436</v>
      </c>
      <c r="CH1" s="77" t="s">
        <v>437</v>
      </c>
      <c r="CI1" s="77" t="s">
        <v>438</v>
      </c>
      <c r="CJ1" s="77" t="s">
        <v>439</v>
      </c>
      <c r="CK1" s="77" t="s">
        <v>440</v>
      </c>
      <c r="CL1" s="77" t="s">
        <v>441</v>
      </c>
      <c r="CM1" s="77" t="s">
        <v>442</v>
      </c>
      <c r="CN1" s="77" t="s">
        <v>443</v>
      </c>
      <c r="CO1" s="77" t="s">
        <v>444</v>
      </c>
      <c r="CP1" s="77" t="s">
        <v>445</v>
      </c>
      <c r="CQ1" s="77" t="s">
        <v>446</v>
      </c>
      <c r="CR1" s="77" t="s">
        <v>447</v>
      </c>
      <c r="CS1" s="77" t="s">
        <v>448</v>
      </c>
      <c r="CT1" s="77" t="s">
        <v>449</v>
      </c>
      <c r="CU1" s="77" t="s">
        <v>450</v>
      </c>
      <c r="CV1" s="77" t="s">
        <v>451</v>
      </c>
      <c r="CW1" s="77" t="s">
        <v>452</v>
      </c>
      <c r="CX1" s="77" t="s">
        <v>453</v>
      </c>
      <c r="CY1" s="77" t="s">
        <v>454</v>
      </c>
      <c r="CZ1" s="77" t="s">
        <v>455</v>
      </c>
      <c r="DA1" s="77" t="s">
        <v>456</v>
      </c>
      <c r="DB1" s="77" t="s">
        <v>457</v>
      </c>
      <c r="DC1" s="77" t="s">
        <v>458</v>
      </c>
      <c r="DD1" s="77" t="s">
        <v>459</v>
      </c>
      <c r="DE1" s="77" t="s">
        <v>460</v>
      </c>
      <c r="DF1" s="77" t="s">
        <v>461</v>
      </c>
      <c r="DG1" s="77" t="s">
        <v>462</v>
      </c>
      <c r="DH1" s="77" t="s">
        <v>463</v>
      </c>
      <c r="DI1" s="77" t="s">
        <v>464</v>
      </c>
      <c r="DJ1" s="77" t="s">
        <v>465</v>
      </c>
      <c r="DK1" s="77" t="s">
        <v>466</v>
      </c>
      <c r="DL1" s="77" t="s">
        <v>467</v>
      </c>
      <c r="DM1" s="77" t="s">
        <v>468</v>
      </c>
      <c r="DN1" s="77" t="s">
        <v>469</v>
      </c>
      <c r="DO1" s="77" t="s">
        <v>470</v>
      </c>
      <c r="DP1" s="77" t="s">
        <v>471</v>
      </c>
      <c r="DQ1" s="77" t="s">
        <v>472</v>
      </c>
      <c r="DR1" s="77" t="s">
        <v>473</v>
      </c>
      <c r="DS1" s="77" t="s">
        <v>474</v>
      </c>
      <c r="DT1" s="77" t="s">
        <v>475</v>
      </c>
      <c r="DU1" s="77" t="s">
        <v>476</v>
      </c>
      <c r="DV1" s="77" t="s">
        <v>477</v>
      </c>
      <c r="DW1" s="77" t="s">
        <v>478</v>
      </c>
      <c r="DX1" s="77" t="s">
        <v>479</v>
      </c>
      <c r="DY1" s="77" t="s">
        <v>480</v>
      </c>
      <c r="DZ1" s="77" t="s">
        <v>481</v>
      </c>
      <c r="EA1" s="77" t="s">
        <v>482</v>
      </c>
      <c r="EB1" s="77" t="s">
        <v>483</v>
      </c>
      <c r="EC1" s="77" t="s">
        <v>484</v>
      </c>
      <c r="ED1" s="77" t="s">
        <v>485</v>
      </c>
      <c r="EE1" s="77" t="s">
        <v>486</v>
      </c>
      <c r="EF1" s="77" t="s">
        <v>487</v>
      </c>
      <c r="EG1" s="77" t="s">
        <v>488</v>
      </c>
      <c r="EH1" s="77" t="s">
        <v>489</v>
      </c>
      <c r="EI1" s="77" t="s">
        <v>490</v>
      </c>
      <c r="EJ1" s="77" t="s">
        <v>491</v>
      </c>
      <c r="EK1" s="77" t="s">
        <v>492</v>
      </c>
      <c r="EL1" s="77" t="s">
        <v>493</v>
      </c>
      <c r="EM1" s="77" t="s">
        <v>494</v>
      </c>
      <c r="EN1" s="77" t="s">
        <v>495</v>
      </c>
      <c r="EO1" s="77" t="s">
        <v>496</v>
      </c>
      <c r="EP1" s="77" t="s">
        <v>497</v>
      </c>
      <c r="EQ1" s="77" t="s">
        <v>498</v>
      </c>
      <c r="ER1" s="77" t="s">
        <v>499</v>
      </c>
      <c r="ES1" s="77" t="s">
        <v>500</v>
      </c>
      <c r="ET1" s="78" t="s">
        <v>501</v>
      </c>
      <c r="EU1" s="78" t="s">
        <v>502</v>
      </c>
      <c r="EV1" s="78" t="s">
        <v>503</v>
      </c>
      <c r="EW1" s="78" t="s">
        <v>504</v>
      </c>
      <c r="EX1" s="78" t="s">
        <v>505</v>
      </c>
      <c r="EY1" s="78" t="s">
        <v>506</v>
      </c>
      <c r="EZ1" s="78" t="s">
        <v>507</v>
      </c>
      <c r="FA1" s="78" t="s">
        <v>508</v>
      </c>
      <c r="FB1" s="78" t="s">
        <v>509</v>
      </c>
      <c r="FC1" s="78" t="s">
        <v>510</v>
      </c>
      <c r="FD1" s="78" t="s">
        <v>511</v>
      </c>
      <c r="FE1" s="77" t="s">
        <v>512</v>
      </c>
      <c r="FF1" s="77" t="s">
        <v>513</v>
      </c>
      <c r="FG1" s="78" t="s">
        <v>514</v>
      </c>
      <c r="FH1" s="77" t="s">
        <v>515</v>
      </c>
      <c r="FI1" s="77" t="s">
        <v>516</v>
      </c>
      <c r="FJ1" s="78" t="s">
        <v>517</v>
      </c>
      <c r="FK1" s="77" t="s">
        <v>518</v>
      </c>
      <c r="FL1" s="77" t="s">
        <v>519</v>
      </c>
      <c r="FM1" s="78" t="s">
        <v>520</v>
      </c>
      <c r="FN1" s="77" t="s">
        <v>521</v>
      </c>
      <c r="FO1" s="77" t="s">
        <v>522</v>
      </c>
      <c r="FP1" s="77" t="s">
        <v>523</v>
      </c>
      <c r="FQ1" s="77" t="s">
        <v>524</v>
      </c>
      <c r="FR1" s="78" t="s">
        <v>525</v>
      </c>
      <c r="FS1" s="78" t="s">
        <v>526</v>
      </c>
      <c r="FT1" s="78" t="s">
        <v>527</v>
      </c>
      <c r="FU1" s="77" t="s">
        <v>528</v>
      </c>
      <c r="FV1" s="78" t="s">
        <v>529</v>
      </c>
      <c r="FW1" s="78" t="s">
        <v>530</v>
      </c>
      <c r="FX1" s="78" t="s">
        <v>531</v>
      </c>
      <c r="FY1" s="77" t="s">
        <v>532</v>
      </c>
      <c r="FZ1" s="77" t="s">
        <v>533</v>
      </c>
      <c r="GA1" s="77" t="s">
        <v>534</v>
      </c>
      <c r="GB1" s="77" t="s">
        <v>535</v>
      </c>
      <c r="GC1" s="77" t="s">
        <v>536</v>
      </c>
      <c r="GD1" s="77" t="s">
        <v>537</v>
      </c>
      <c r="GE1" s="77" t="s">
        <v>538</v>
      </c>
      <c r="GF1" s="77" t="s">
        <v>539</v>
      </c>
      <c r="GG1" s="77" t="s">
        <v>540</v>
      </c>
      <c r="GH1" s="77" t="s">
        <v>541</v>
      </c>
      <c r="GI1" s="77" t="s">
        <v>542</v>
      </c>
      <c r="GJ1" s="78" t="s">
        <v>543</v>
      </c>
      <c r="GK1" s="77" t="s">
        <v>544</v>
      </c>
      <c r="GL1" s="77" t="s">
        <v>545</v>
      </c>
      <c r="GM1" s="77" t="s">
        <v>546</v>
      </c>
      <c r="GN1" s="77" t="s">
        <v>547</v>
      </c>
      <c r="GO1" s="77" t="s">
        <v>548</v>
      </c>
      <c r="GP1" s="77" t="s">
        <v>549</v>
      </c>
      <c r="GQ1" s="77" t="s">
        <v>550</v>
      </c>
      <c r="GR1" s="77" t="s">
        <v>551</v>
      </c>
      <c r="GS1" s="77" t="s">
        <v>552</v>
      </c>
    </row>
    <row r="2" customFormat="false" ht="15" hidden="false" customHeight="true" outlineLevel="0" collapsed="false">
      <c r="A2" s="79" t="n">
        <v>46112.4320601852</v>
      </c>
      <c r="B2" s="79" t="n">
        <v>46112.4360648148</v>
      </c>
      <c r="C2" s="79" t="s">
        <v>245</v>
      </c>
      <c r="D2" s="79" t="s">
        <v>136</v>
      </c>
      <c r="E2" s="79" t="s">
        <v>553</v>
      </c>
      <c r="F2" s="79" t="s">
        <v>244</v>
      </c>
      <c r="FJ2" s="79" t="n">
        <v>3</v>
      </c>
      <c r="FK2" s="79" t="n">
        <v>3</v>
      </c>
      <c r="FL2" s="79" t="n">
        <v>3</v>
      </c>
      <c r="FN2" s="79" t="n">
        <v>3</v>
      </c>
      <c r="FO2" s="79" t="n">
        <v>3</v>
      </c>
      <c r="FP2" s="79" t="n">
        <v>3</v>
      </c>
      <c r="GH2" s="79" t="n">
        <v>3</v>
      </c>
      <c r="GI2" s="79" t="n">
        <v>3</v>
      </c>
      <c r="GJ2" s="79" t="n">
        <v>3</v>
      </c>
      <c r="GK2" s="79" t="s">
        <v>554</v>
      </c>
      <c r="GL2" s="79" t="s">
        <v>554</v>
      </c>
      <c r="GM2" s="79" t="s">
        <v>555</v>
      </c>
      <c r="GN2" s="79" t="s">
        <v>556</v>
      </c>
      <c r="GO2" s="79" t="s">
        <v>557</v>
      </c>
      <c r="GQ2" s="79" t="s">
        <v>558</v>
      </c>
      <c r="GS2" s="79" t="s">
        <v>559</v>
      </c>
    </row>
    <row r="3" customFormat="false" ht="15" hidden="false" customHeight="true" outlineLevel="0" collapsed="false">
      <c r="A3" s="79" t="n">
        <v>46112.4361689815</v>
      </c>
      <c r="B3" s="79" t="n">
        <v>46112.4372685185</v>
      </c>
      <c r="C3" s="79" t="s">
        <v>245</v>
      </c>
      <c r="D3" s="79" t="s">
        <v>136</v>
      </c>
      <c r="E3" s="79" t="s">
        <v>553</v>
      </c>
      <c r="F3" s="79" t="s">
        <v>260</v>
      </c>
      <c r="FG3" s="79" t="n">
        <v>4</v>
      </c>
      <c r="FH3" s="79" t="n">
        <v>4</v>
      </c>
      <c r="FI3" s="79" t="n">
        <v>4</v>
      </c>
      <c r="FN3" s="79" t="n">
        <v>4</v>
      </c>
      <c r="FO3" s="79" t="n">
        <v>4</v>
      </c>
      <c r="FP3" s="79" t="n">
        <v>4</v>
      </c>
      <c r="GH3" s="79" t="n">
        <v>4</v>
      </c>
      <c r="GI3" s="79" t="n">
        <v>4</v>
      </c>
      <c r="GJ3" s="79" t="n">
        <v>4</v>
      </c>
      <c r="GK3" s="79" t="s">
        <v>554</v>
      </c>
      <c r="GL3" s="79" t="s">
        <v>554</v>
      </c>
      <c r="GM3" s="79" t="s">
        <v>555</v>
      </c>
      <c r="GN3" s="79" t="s">
        <v>556</v>
      </c>
      <c r="GO3" s="79" t="s">
        <v>557</v>
      </c>
      <c r="GQ3" s="79" t="s">
        <v>558</v>
      </c>
      <c r="GS3" s="79" t="s">
        <v>560</v>
      </c>
    </row>
    <row r="4" customFormat="false" ht="15" hidden="false" customHeight="true" outlineLevel="0" collapsed="false">
      <c r="A4" s="79" t="n">
        <v>46112.437349537</v>
      </c>
      <c r="B4" s="79" t="n">
        <v>46112.4378703704</v>
      </c>
      <c r="C4" s="79" t="s">
        <v>245</v>
      </c>
      <c r="D4" s="79" t="s">
        <v>136</v>
      </c>
      <c r="E4" s="79" t="s">
        <v>553</v>
      </c>
      <c r="F4" s="79" t="s">
        <v>263</v>
      </c>
      <c r="FD4" s="79" t="n">
        <v>3</v>
      </c>
      <c r="FE4" s="79" t="n">
        <v>3</v>
      </c>
      <c r="FF4" s="79" t="n">
        <v>3</v>
      </c>
      <c r="FN4" s="79" t="n">
        <v>3</v>
      </c>
      <c r="FO4" s="79" t="n">
        <v>3</v>
      </c>
      <c r="FP4" s="79" t="n">
        <v>3</v>
      </c>
      <c r="GH4" s="79" t="n">
        <v>3</v>
      </c>
      <c r="GI4" s="79" t="n">
        <v>3</v>
      </c>
      <c r="GJ4" s="79" t="n">
        <v>3</v>
      </c>
      <c r="GK4" s="79" t="s">
        <v>554</v>
      </c>
      <c r="GL4" s="79" t="s">
        <v>554</v>
      </c>
      <c r="GM4" s="79" t="s">
        <v>555</v>
      </c>
      <c r="GN4" s="79" t="s">
        <v>556</v>
      </c>
      <c r="GO4" s="79" t="s">
        <v>557</v>
      </c>
      <c r="GQ4" s="79" t="s">
        <v>558</v>
      </c>
      <c r="GS4" s="79" t="s">
        <v>561</v>
      </c>
    </row>
    <row r="5" customFormat="false" ht="15" hidden="false" customHeight="true" outlineLevel="0" collapsed="false">
      <c r="A5" s="79" t="n">
        <v>46112.5517708333</v>
      </c>
      <c r="B5" s="79" t="n">
        <v>46112.5656712963</v>
      </c>
      <c r="C5" s="79" t="s">
        <v>187</v>
      </c>
      <c r="D5" s="79" t="s">
        <v>141</v>
      </c>
      <c r="E5" s="79" t="s">
        <v>562</v>
      </c>
      <c r="F5" s="79" t="s">
        <v>266</v>
      </c>
      <c r="DX5" s="79" t="n">
        <v>3</v>
      </c>
      <c r="DY5" s="79" t="n">
        <v>4</v>
      </c>
      <c r="DZ5" s="79" t="n">
        <v>3</v>
      </c>
      <c r="EA5" s="79" t="n">
        <v>3</v>
      </c>
      <c r="EB5" s="79" t="n">
        <v>3</v>
      </c>
      <c r="EC5" s="79" t="n">
        <v>3</v>
      </c>
      <c r="ED5" s="79" t="n">
        <v>4</v>
      </c>
      <c r="EE5" s="79" t="n">
        <v>3</v>
      </c>
      <c r="FN5" s="79" t="n">
        <v>3</v>
      </c>
      <c r="FO5" s="79" t="n">
        <v>4</v>
      </c>
      <c r="FP5" s="79" t="n">
        <v>3</v>
      </c>
      <c r="GH5" s="79" t="n">
        <v>4</v>
      </c>
      <c r="GI5" s="79" t="n">
        <v>4</v>
      </c>
      <c r="GJ5" s="79" t="n">
        <v>3</v>
      </c>
      <c r="GK5" s="79" t="s">
        <v>554</v>
      </c>
      <c r="GL5" s="79" t="s">
        <v>554</v>
      </c>
      <c r="GM5" s="79" t="s">
        <v>563</v>
      </c>
      <c r="GN5" s="79" t="s">
        <v>556</v>
      </c>
      <c r="GO5" s="79" t="s">
        <v>557</v>
      </c>
      <c r="GQ5" s="79" t="s">
        <v>558</v>
      </c>
      <c r="GS5" s="79" t="s">
        <v>564</v>
      </c>
    </row>
    <row r="6" customFormat="false" ht="15" hidden="false" customHeight="true" outlineLevel="0" collapsed="false">
      <c r="A6" s="79" t="n">
        <v>46112.5721990741</v>
      </c>
      <c r="B6" s="79" t="n">
        <v>46112.5876736111</v>
      </c>
      <c r="C6" s="79" t="s">
        <v>270</v>
      </c>
      <c r="D6" s="79" t="s">
        <v>144</v>
      </c>
      <c r="E6" s="79" t="s">
        <v>565</v>
      </c>
      <c r="F6" s="79" t="s">
        <v>269</v>
      </c>
      <c r="AA6" s="79" t="n">
        <v>3</v>
      </c>
      <c r="AB6" s="79" t="n">
        <v>3</v>
      </c>
      <c r="AC6" s="79" t="n">
        <v>3</v>
      </c>
      <c r="AD6" s="79" t="n">
        <v>3</v>
      </c>
      <c r="AE6" s="79" t="n">
        <v>3</v>
      </c>
      <c r="AF6" s="79" t="n">
        <v>3</v>
      </c>
      <c r="AG6" s="79" t="n">
        <v>3</v>
      </c>
      <c r="AH6" s="79" t="n">
        <v>3</v>
      </c>
      <c r="AI6" s="79" t="n">
        <v>3</v>
      </c>
      <c r="AJ6" s="79" t="n">
        <v>3</v>
      </c>
      <c r="AK6" s="79" t="n">
        <v>3</v>
      </c>
      <c r="FQ6" s="79" t="n">
        <v>3</v>
      </c>
      <c r="FR6" s="79" t="n">
        <v>3</v>
      </c>
      <c r="FS6" s="79" t="n">
        <v>3</v>
      </c>
      <c r="FT6" s="79" t="n">
        <v>3</v>
      </c>
      <c r="GH6" s="79" t="n">
        <v>3</v>
      </c>
      <c r="GI6" s="79" t="n">
        <v>3</v>
      </c>
      <c r="GJ6" s="79" t="n">
        <v>3</v>
      </c>
      <c r="GK6" s="79" t="s">
        <v>554</v>
      </c>
      <c r="GL6" s="79" t="s">
        <v>554</v>
      </c>
      <c r="GM6" s="79" t="s">
        <v>563</v>
      </c>
      <c r="GN6" s="79" t="s">
        <v>566</v>
      </c>
      <c r="GO6" s="79" t="s">
        <v>557</v>
      </c>
      <c r="GQ6" s="79" t="s">
        <v>567</v>
      </c>
      <c r="GS6" s="79" t="s">
        <v>568</v>
      </c>
    </row>
    <row r="7" customFormat="false" ht="15" hidden="false" customHeight="true" outlineLevel="0" collapsed="false">
      <c r="A7" s="79" t="n">
        <v>46112.6143287037</v>
      </c>
      <c r="B7" s="79" t="n">
        <v>46112.6143865741</v>
      </c>
      <c r="C7" s="79" t="s">
        <v>270</v>
      </c>
      <c r="D7" s="79" t="s">
        <v>144</v>
      </c>
      <c r="E7" s="79" t="s">
        <v>565</v>
      </c>
      <c r="F7" s="79" t="s">
        <v>275</v>
      </c>
      <c r="DI7" s="79" t="n">
        <v>3</v>
      </c>
      <c r="DJ7" s="79" t="n">
        <v>3</v>
      </c>
      <c r="DK7" s="79" t="n">
        <v>3</v>
      </c>
      <c r="DL7" s="79" t="n">
        <v>3</v>
      </c>
      <c r="DM7" s="79" t="n">
        <v>3</v>
      </c>
      <c r="DN7" s="79" t="n">
        <v>3</v>
      </c>
      <c r="DO7" s="79" t="n">
        <v>3</v>
      </c>
      <c r="DP7" s="79" t="n">
        <v>3</v>
      </c>
      <c r="DQ7" s="79" t="n">
        <v>3</v>
      </c>
      <c r="DR7" s="79" t="n">
        <v>3</v>
      </c>
      <c r="DS7" s="79" t="n">
        <v>3</v>
      </c>
      <c r="DT7" s="79" t="n">
        <v>3</v>
      </c>
      <c r="DU7" s="79" t="n">
        <v>3</v>
      </c>
      <c r="DV7" s="79" t="n">
        <v>3</v>
      </c>
      <c r="DW7" s="79" t="n">
        <v>3</v>
      </c>
      <c r="GE7" s="79" t="n">
        <v>3</v>
      </c>
      <c r="GF7" s="79" t="n">
        <v>3</v>
      </c>
      <c r="GG7" s="79" t="n">
        <v>3</v>
      </c>
      <c r="GH7" s="79" t="n">
        <v>3</v>
      </c>
      <c r="GI7" s="79" t="n">
        <v>3</v>
      </c>
      <c r="GJ7" s="79" t="n">
        <v>3</v>
      </c>
      <c r="GK7" s="79" t="s">
        <v>554</v>
      </c>
      <c r="GL7" s="79" t="s">
        <v>554</v>
      </c>
      <c r="GM7" s="79" t="s">
        <v>563</v>
      </c>
      <c r="GN7" s="79" t="s">
        <v>566</v>
      </c>
      <c r="GO7" s="79" t="s">
        <v>557</v>
      </c>
      <c r="GQ7" s="79" t="s">
        <v>569</v>
      </c>
      <c r="GS7" s="79" t="s">
        <v>570</v>
      </c>
    </row>
    <row r="8" customFormat="false" ht="15" hidden="false" customHeight="true" outlineLevel="0" collapsed="false">
      <c r="A8" s="79" t="n">
        <v>46112.6390162037</v>
      </c>
      <c r="B8" s="79" t="n">
        <v>46112.6449421296</v>
      </c>
      <c r="C8" s="79" t="s">
        <v>187</v>
      </c>
      <c r="D8" s="79" t="s">
        <v>141</v>
      </c>
      <c r="E8" s="79" t="s">
        <v>562</v>
      </c>
      <c r="F8" s="79" t="s">
        <v>280</v>
      </c>
      <c r="AY8" s="79" t="n">
        <v>3</v>
      </c>
      <c r="AZ8" s="79" t="n">
        <v>3</v>
      </c>
      <c r="BA8" s="79" t="n">
        <v>3</v>
      </c>
      <c r="BB8" s="79" t="n">
        <v>3</v>
      </c>
      <c r="BC8" s="79" t="n">
        <v>3</v>
      </c>
      <c r="BD8" s="79" t="n">
        <v>4</v>
      </c>
      <c r="BE8" s="79" t="n">
        <v>3</v>
      </c>
      <c r="BF8" s="79" t="n">
        <v>3</v>
      </c>
      <c r="BG8" s="79" t="n">
        <v>3</v>
      </c>
      <c r="BH8" s="79" t="n">
        <v>3</v>
      </c>
      <c r="BI8" s="79" t="n">
        <v>3</v>
      </c>
      <c r="FU8" s="79" t="n">
        <v>3</v>
      </c>
      <c r="FV8" s="79" t="n">
        <v>3</v>
      </c>
      <c r="FW8" s="79" t="n">
        <v>3</v>
      </c>
      <c r="FX8" s="79" t="n">
        <v>3</v>
      </c>
      <c r="GH8" s="79" t="n">
        <v>3</v>
      </c>
      <c r="GI8" s="79" t="n">
        <v>3</v>
      </c>
      <c r="GJ8" s="79" t="n">
        <v>3</v>
      </c>
      <c r="GK8" s="79" t="s">
        <v>554</v>
      </c>
      <c r="GL8" s="79" t="s">
        <v>554</v>
      </c>
      <c r="GM8" s="79" t="s">
        <v>563</v>
      </c>
      <c r="GN8" s="79" t="s">
        <v>566</v>
      </c>
      <c r="GO8" s="79" t="s">
        <v>557</v>
      </c>
      <c r="GQ8" s="79" t="s">
        <v>558</v>
      </c>
      <c r="GS8" s="79" t="s">
        <v>571</v>
      </c>
    </row>
    <row r="9" customFormat="false" ht="15" hidden="false" customHeight="true" outlineLevel="0" collapsed="false">
      <c r="A9" s="79" t="n">
        <v>46112.7356481481</v>
      </c>
      <c r="B9" s="79" t="n">
        <v>46112.7486226852</v>
      </c>
      <c r="C9" s="79" t="s">
        <v>286</v>
      </c>
      <c r="D9" s="79" t="s">
        <v>152</v>
      </c>
      <c r="E9" s="79" t="s">
        <v>572</v>
      </c>
      <c r="F9" s="79" t="s">
        <v>285</v>
      </c>
      <c r="G9" s="79" t="n">
        <v>4</v>
      </c>
      <c r="H9" s="79" t="n">
        <v>3</v>
      </c>
      <c r="I9" s="79" t="n">
        <v>3</v>
      </c>
      <c r="J9" s="79" t="n">
        <v>3</v>
      </c>
      <c r="K9" s="79" t="n">
        <v>3</v>
      </c>
      <c r="L9" s="79" t="n">
        <v>3</v>
      </c>
      <c r="M9" s="79" t="n">
        <v>3</v>
      </c>
      <c r="N9" s="79" t="n">
        <v>3</v>
      </c>
      <c r="O9" s="79" t="n">
        <v>3</v>
      </c>
      <c r="P9" s="79" t="n">
        <v>3</v>
      </c>
      <c r="Q9" s="79" t="n">
        <v>3</v>
      </c>
      <c r="R9" s="79" t="n">
        <v>3</v>
      </c>
      <c r="S9" s="79" t="n">
        <v>3</v>
      </c>
      <c r="T9" s="79" t="n">
        <v>3</v>
      </c>
      <c r="U9" s="79" t="n">
        <v>3</v>
      </c>
      <c r="V9" s="79" t="n">
        <v>3</v>
      </c>
      <c r="X9" s="79" t="n">
        <v>3</v>
      </c>
      <c r="Y9" s="79" t="n">
        <v>3</v>
      </c>
      <c r="Z9" s="79" t="n">
        <v>3</v>
      </c>
      <c r="FN9" s="79" t="n">
        <v>3</v>
      </c>
      <c r="FO9" s="79" t="n">
        <v>3</v>
      </c>
      <c r="FP9" s="79" t="n">
        <v>3</v>
      </c>
      <c r="GH9" s="79" t="n">
        <v>4</v>
      </c>
      <c r="GI9" s="79" t="n">
        <v>4</v>
      </c>
      <c r="GJ9" s="79" t="n">
        <v>4</v>
      </c>
      <c r="GK9" s="79" t="s">
        <v>78</v>
      </c>
      <c r="GL9" s="79" t="s">
        <v>554</v>
      </c>
      <c r="GM9" s="79" t="s">
        <v>563</v>
      </c>
      <c r="GN9" s="79" t="s">
        <v>556</v>
      </c>
      <c r="GO9" s="79" t="s">
        <v>557</v>
      </c>
      <c r="GQ9" s="79" t="s">
        <v>569</v>
      </c>
      <c r="GS9" s="79" t="s">
        <v>573</v>
      </c>
    </row>
    <row r="10" customFormat="false" ht="15" hidden="false" customHeight="true" outlineLevel="0" collapsed="false">
      <c r="A10" s="79" t="n">
        <v>46113.5764814815</v>
      </c>
      <c r="B10" s="79" t="n">
        <v>46113.5795949074</v>
      </c>
      <c r="C10" s="79" t="s">
        <v>290</v>
      </c>
      <c r="D10" s="79" t="s">
        <v>155</v>
      </c>
      <c r="E10" s="79" t="s">
        <v>574</v>
      </c>
      <c r="F10" s="79" t="s">
        <v>289</v>
      </c>
      <c r="BJ10" s="79" t="n">
        <v>4</v>
      </c>
      <c r="BK10" s="79" t="n">
        <v>4</v>
      </c>
      <c r="BL10" s="79" t="n">
        <v>4</v>
      </c>
      <c r="BM10" s="79" t="n">
        <v>4</v>
      </c>
      <c r="BN10" s="79" t="n">
        <v>4</v>
      </c>
      <c r="BO10" s="79" t="n">
        <v>4</v>
      </c>
      <c r="BP10" s="79" t="n">
        <v>4</v>
      </c>
      <c r="BQ10" s="79" t="n">
        <v>4</v>
      </c>
      <c r="BR10" s="79" t="n">
        <v>4</v>
      </c>
      <c r="BS10" s="79" t="n">
        <v>4</v>
      </c>
      <c r="BT10" s="79" t="n">
        <v>4</v>
      </c>
      <c r="BU10" s="79" t="n">
        <v>4</v>
      </c>
      <c r="BV10" s="79" t="n">
        <v>4</v>
      </c>
      <c r="BW10" s="79" t="n">
        <v>4</v>
      </c>
      <c r="FY10" s="79" t="n">
        <v>4</v>
      </c>
      <c r="FZ10" s="79" t="n">
        <v>4</v>
      </c>
      <c r="GA10" s="79" t="n">
        <v>4</v>
      </c>
      <c r="GB10" s="79" t="n">
        <v>4</v>
      </c>
      <c r="GC10" s="79" t="n">
        <v>4</v>
      </c>
      <c r="GD10" s="79" t="n">
        <v>4</v>
      </c>
      <c r="GH10" s="79" t="n">
        <v>4</v>
      </c>
      <c r="GI10" s="79" t="n">
        <v>4</v>
      </c>
      <c r="GJ10" s="79" t="n">
        <v>4</v>
      </c>
      <c r="GK10" s="79" t="s">
        <v>554</v>
      </c>
      <c r="GL10" s="79" t="s">
        <v>554</v>
      </c>
      <c r="GM10" s="79" t="s">
        <v>563</v>
      </c>
      <c r="GN10" s="79" t="s">
        <v>566</v>
      </c>
      <c r="GO10" s="79" t="s">
        <v>557</v>
      </c>
      <c r="GQ10" s="79" t="s">
        <v>558</v>
      </c>
      <c r="GS10" s="79" t="s">
        <v>575</v>
      </c>
    </row>
    <row r="11" customFormat="false" ht="15" hidden="false" customHeight="true" outlineLevel="0" collapsed="false">
      <c r="A11" s="79" t="n">
        <v>46114.4425</v>
      </c>
      <c r="B11" s="79" t="n">
        <v>46114.4434722222</v>
      </c>
      <c r="C11" s="79" t="s">
        <v>296</v>
      </c>
      <c r="D11" s="79" t="s">
        <v>158</v>
      </c>
      <c r="E11" s="79" t="s">
        <v>576</v>
      </c>
      <c r="F11" s="79" t="s">
        <v>295</v>
      </c>
      <c r="EF11" s="79" t="n">
        <v>3</v>
      </c>
      <c r="EG11" s="79" t="n">
        <v>3</v>
      </c>
      <c r="EH11" s="79" t="n">
        <v>4</v>
      </c>
      <c r="EI11" s="79" t="n">
        <v>4</v>
      </c>
      <c r="EJ11" s="79" t="n">
        <v>4</v>
      </c>
      <c r="EK11" s="79" t="n">
        <v>4</v>
      </c>
      <c r="EL11" s="79" t="n">
        <v>4</v>
      </c>
      <c r="FN11" s="79" t="n">
        <v>4</v>
      </c>
      <c r="FO11" s="79" t="n">
        <v>4</v>
      </c>
      <c r="FP11" s="79" t="n">
        <v>4</v>
      </c>
      <c r="GH11" s="79" t="n">
        <v>4</v>
      </c>
      <c r="GI11" s="79" t="n">
        <v>4</v>
      </c>
      <c r="GJ11" s="79" t="n">
        <v>4</v>
      </c>
      <c r="GK11" s="79" t="s">
        <v>554</v>
      </c>
      <c r="GL11" s="79" t="s">
        <v>554</v>
      </c>
      <c r="GM11" s="79" t="s">
        <v>563</v>
      </c>
      <c r="GN11" s="79" t="s">
        <v>566</v>
      </c>
      <c r="GO11" s="79" t="s">
        <v>557</v>
      </c>
      <c r="GQ11" s="79" t="s">
        <v>558</v>
      </c>
      <c r="GS11" s="79" t="s">
        <v>577</v>
      </c>
    </row>
    <row r="12" customFormat="false" ht="11.25" hidden="false" customHeight="true" outlineLevel="0" collapsed="false">
      <c r="A12" s="79" t="n">
        <v>46114.4472222222</v>
      </c>
      <c r="B12" s="79" t="n">
        <v>46114.4696759259</v>
      </c>
      <c r="C12" s="79" t="s">
        <v>300</v>
      </c>
      <c r="D12" s="79" t="s">
        <v>161</v>
      </c>
      <c r="E12" s="79" t="s">
        <v>578</v>
      </c>
      <c r="F12" s="79" t="s">
        <v>299</v>
      </c>
      <c r="BX12" s="79" t="n">
        <v>4</v>
      </c>
      <c r="BY12" s="79" t="n">
        <v>4</v>
      </c>
      <c r="BZ12" s="79" t="n">
        <v>4</v>
      </c>
      <c r="CA12" s="79" t="n">
        <v>4</v>
      </c>
      <c r="CB12" s="79" t="n">
        <v>4</v>
      </c>
      <c r="CC12" s="79" t="n">
        <v>4</v>
      </c>
      <c r="CD12" s="79" t="n">
        <v>4</v>
      </c>
      <c r="CE12" s="79" t="n">
        <v>4</v>
      </c>
      <c r="CF12" s="79" t="n">
        <v>4</v>
      </c>
      <c r="CG12" s="79" t="n">
        <v>4</v>
      </c>
      <c r="CH12" s="79" t="n">
        <v>4</v>
      </c>
      <c r="CI12" s="79" t="n">
        <v>4</v>
      </c>
      <c r="CJ12" s="79" t="n">
        <v>4</v>
      </c>
      <c r="CK12" s="79" t="n">
        <v>4</v>
      </c>
      <c r="CL12" s="79" t="n">
        <v>4</v>
      </c>
      <c r="CM12" s="79" t="n">
        <v>4</v>
      </c>
      <c r="CN12" s="79" t="n">
        <v>4</v>
      </c>
      <c r="CO12" s="79" t="n">
        <v>4</v>
      </c>
      <c r="CP12" s="79" t="n">
        <v>4</v>
      </c>
      <c r="CQ12" s="79" t="n">
        <v>4</v>
      </c>
      <c r="CR12" s="79" t="n">
        <v>4</v>
      </c>
      <c r="CS12" s="79" t="n">
        <v>4</v>
      </c>
      <c r="CT12" s="79" t="n">
        <v>4</v>
      </c>
      <c r="CU12" s="79" t="n">
        <v>4</v>
      </c>
      <c r="CV12" s="79" t="n">
        <v>4</v>
      </c>
      <c r="CW12" s="79" t="n">
        <v>4</v>
      </c>
      <c r="CX12" s="79" t="n">
        <v>4</v>
      </c>
      <c r="CY12" s="79" t="n">
        <v>4</v>
      </c>
      <c r="CZ12" s="79" t="n">
        <v>4</v>
      </c>
      <c r="DA12" s="79" t="n">
        <v>4</v>
      </c>
      <c r="DB12" s="79" t="n">
        <v>4</v>
      </c>
      <c r="DC12" s="79" t="n">
        <v>4</v>
      </c>
      <c r="DD12" s="79" t="n">
        <v>4</v>
      </c>
      <c r="DE12" s="79" t="n">
        <v>4</v>
      </c>
      <c r="DF12" s="79" t="n">
        <v>4</v>
      </c>
      <c r="DG12" s="79" t="n">
        <v>4</v>
      </c>
      <c r="DH12" s="79" t="n">
        <v>4</v>
      </c>
      <c r="FN12" s="79" t="n">
        <v>4</v>
      </c>
      <c r="FO12" s="79" t="n">
        <v>4</v>
      </c>
      <c r="FP12" s="79" t="n">
        <v>4</v>
      </c>
      <c r="GH12" s="79" t="n">
        <v>4</v>
      </c>
      <c r="GI12" s="79" t="n">
        <v>4</v>
      </c>
      <c r="GJ12" s="79" t="n">
        <v>4</v>
      </c>
      <c r="GK12" s="79" t="s">
        <v>554</v>
      </c>
      <c r="GL12" s="79" t="s">
        <v>554</v>
      </c>
      <c r="GM12" s="79" t="s">
        <v>563</v>
      </c>
      <c r="GN12" s="79" t="s">
        <v>579</v>
      </c>
      <c r="GO12" s="79" t="s">
        <v>557</v>
      </c>
      <c r="GQ12" s="79" t="s">
        <v>558</v>
      </c>
      <c r="GS12" s="80" t="s">
        <v>580</v>
      </c>
    </row>
    <row r="13" customFormat="false" ht="15" hidden="false" customHeight="true" outlineLevel="0" collapsed="false">
      <c r="A13" s="79" t="n">
        <v>46121.6488078704</v>
      </c>
      <c r="B13" s="79" t="n">
        <v>46121.649212963</v>
      </c>
      <c r="C13" s="79" t="s">
        <v>304</v>
      </c>
      <c r="D13" s="79" t="s">
        <v>163</v>
      </c>
      <c r="E13" s="79" t="s">
        <v>581</v>
      </c>
      <c r="F13" s="79" t="s">
        <v>303</v>
      </c>
      <c r="AL13" s="79" t="n">
        <v>5</v>
      </c>
      <c r="AM13" s="79" t="n">
        <v>5</v>
      </c>
      <c r="AN13" s="79" t="n">
        <v>5</v>
      </c>
      <c r="AO13" s="79" t="n">
        <v>4</v>
      </c>
      <c r="AP13" s="79" t="n">
        <v>5</v>
      </c>
      <c r="AQ13" s="79" t="n">
        <v>5</v>
      </c>
      <c r="AR13" s="79" t="n">
        <v>5</v>
      </c>
      <c r="AS13" s="79" t="n">
        <v>5</v>
      </c>
      <c r="AT13" s="79" t="n">
        <v>5</v>
      </c>
      <c r="AU13" s="79" t="n">
        <v>5</v>
      </c>
      <c r="AV13" s="79" t="n">
        <v>4</v>
      </c>
      <c r="AW13" s="79" t="n">
        <v>5</v>
      </c>
      <c r="AX13" s="79" t="n">
        <v>5</v>
      </c>
      <c r="FN13" s="79" t="n">
        <v>4</v>
      </c>
      <c r="FO13" s="79" t="n">
        <v>5</v>
      </c>
      <c r="FP13" s="79" t="n">
        <v>5</v>
      </c>
      <c r="GH13" s="79" t="n">
        <v>5</v>
      </c>
      <c r="GI13" s="79" t="n">
        <v>5</v>
      </c>
      <c r="GJ13" s="79" t="n">
        <v>5</v>
      </c>
      <c r="GK13" s="79" t="s">
        <v>78</v>
      </c>
      <c r="GL13" s="79" t="s">
        <v>78</v>
      </c>
      <c r="GM13" s="79" t="s">
        <v>555</v>
      </c>
      <c r="GN13" s="79" t="s">
        <v>556</v>
      </c>
      <c r="GO13" s="79" t="s">
        <v>582</v>
      </c>
      <c r="GQ13" s="79" t="s">
        <v>567</v>
      </c>
      <c r="GS13" s="79" t="s">
        <v>583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D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sheetData>
    <row r="1" customFormat="false" ht="60" hidden="false" customHeight="true" outlineLevel="0" collapsed="false">
      <c r="A1" s="77" t="s">
        <v>352</v>
      </c>
      <c r="B1" s="77" t="s">
        <v>353</v>
      </c>
      <c r="C1" s="77" t="s">
        <v>354</v>
      </c>
      <c r="D1" s="77" t="s">
        <v>355</v>
      </c>
      <c r="E1" s="77" t="s">
        <v>356</v>
      </c>
      <c r="F1" s="77" t="s">
        <v>357</v>
      </c>
      <c r="G1" s="77" t="s">
        <v>584</v>
      </c>
      <c r="H1" s="77" t="s">
        <v>380</v>
      </c>
      <c r="I1" s="77" t="s">
        <v>585</v>
      </c>
      <c r="J1" s="77" t="s">
        <v>586</v>
      </c>
      <c r="K1" s="77" t="s">
        <v>383</v>
      </c>
      <c r="L1" s="77" t="s">
        <v>384</v>
      </c>
      <c r="M1" s="77" t="s">
        <v>371</v>
      </c>
      <c r="N1" s="77" t="s">
        <v>372</v>
      </c>
      <c r="O1" s="77" t="s">
        <v>587</v>
      </c>
      <c r="P1" s="77" t="s">
        <v>588</v>
      </c>
      <c r="Q1" s="77" t="s">
        <v>381</v>
      </c>
      <c r="R1" s="77" t="s">
        <v>382</v>
      </c>
      <c r="S1" s="77" t="s">
        <v>498</v>
      </c>
      <c r="T1" s="77" t="s">
        <v>386</v>
      </c>
      <c r="U1" s="77" t="s">
        <v>589</v>
      </c>
      <c r="V1" s="77" t="s">
        <v>590</v>
      </c>
      <c r="W1" s="77" t="s">
        <v>591</v>
      </c>
      <c r="X1" s="77" t="s">
        <v>592</v>
      </c>
      <c r="Y1" s="77" t="s">
        <v>593</v>
      </c>
      <c r="Z1" s="77" t="s">
        <v>594</v>
      </c>
      <c r="AA1" s="77" t="s">
        <v>595</v>
      </c>
      <c r="AB1" s="77" t="s">
        <v>596</v>
      </c>
      <c r="AC1" s="77" t="s">
        <v>419</v>
      </c>
      <c r="AD1" s="77" t="s">
        <v>397</v>
      </c>
      <c r="AE1" s="77" t="s">
        <v>597</v>
      </c>
      <c r="AF1" s="77" t="s">
        <v>401</v>
      </c>
      <c r="AG1" s="77" t="s">
        <v>598</v>
      </c>
      <c r="AH1" s="77" t="s">
        <v>599</v>
      </c>
      <c r="AI1" s="77" t="s">
        <v>600</v>
      </c>
      <c r="AJ1" s="77" t="s">
        <v>395</v>
      </c>
      <c r="AK1" s="77" t="s">
        <v>396</v>
      </c>
      <c r="AL1" s="77" t="s">
        <v>408</v>
      </c>
      <c r="AM1" s="77" t="s">
        <v>601</v>
      </c>
      <c r="AN1" s="77" t="s">
        <v>412</v>
      </c>
      <c r="AO1" s="77" t="s">
        <v>602</v>
      </c>
      <c r="AP1" s="77" t="s">
        <v>603</v>
      </c>
      <c r="AQ1" s="77" t="s">
        <v>604</v>
      </c>
      <c r="AR1" s="77" t="s">
        <v>605</v>
      </c>
      <c r="AS1" s="77" t="s">
        <v>606</v>
      </c>
      <c r="AT1" s="77" t="s">
        <v>413</v>
      </c>
      <c r="AU1" s="77" t="s">
        <v>418</v>
      </c>
      <c r="AV1" s="77" t="s">
        <v>607</v>
      </c>
      <c r="AW1" s="77" t="s">
        <v>426</v>
      </c>
      <c r="AX1" s="77" t="s">
        <v>608</v>
      </c>
      <c r="AY1" s="77" t="s">
        <v>609</v>
      </c>
      <c r="AZ1" s="77" t="s">
        <v>610</v>
      </c>
      <c r="BA1" s="77" t="s">
        <v>611</v>
      </c>
      <c r="BB1" s="77" t="s">
        <v>612</v>
      </c>
      <c r="BC1" s="77" t="s">
        <v>613</v>
      </c>
      <c r="BD1" s="77" t="s">
        <v>614</v>
      </c>
      <c r="BE1" s="77" t="s">
        <v>615</v>
      </c>
      <c r="BF1" s="77" t="s">
        <v>616</v>
      </c>
      <c r="BG1" s="77" t="s">
        <v>617</v>
      </c>
      <c r="BH1" s="77" t="s">
        <v>618</v>
      </c>
      <c r="BI1" s="77" t="s">
        <v>619</v>
      </c>
      <c r="BJ1" s="77" t="s">
        <v>366</v>
      </c>
      <c r="BK1" s="77" t="s">
        <v>620</v>
      </c>
      <c r="BL1" s="77" t="s">
        <v>368</v>
      </c>
      <c r="BM1" s="77" t="s">
        <v>621</v>
      </c>
      <c r="BN1" s="77" t="s">
        <v>622</v>
      </c>
      <c r="BO1" s="77" t="s">
        <v>623</v>
      </c>
      <c r="BP1" s="77" t="s">
        <v>406</v>
      </c>
      <c r="BQ1" s="77" t="s">
        <v>415</v>
      </c>
      <c r="BR1" s="77" t="s">
        <v>399</v>
      </c>
      <c r="BS1" s="77" t="s">
        <v>624</v>
      </c>
      <c r="BT1" s="77" t="s">
        <v>441</v>
      </c>
      <c r="BU1" s="77" t="s">
        <v>625</v>
      </c>
      <c r="BV1" s="77" t="s">
        <v>626</v>
      </c>
      <c r="BW1" s="77" t="s">
        <v>627</v>
      </c>
      <c r="BX1" s="77" t="s">
        <v>628</v>
      </c>
      <c r="BY1" s="77" t="s">
        <v>629</v>
      </c>
      <c r="BZ1" s="77" t="s">
        <v>630</v>
      </c>
      <c r="CA1" s="77" t="s">
        <v>631</v>
      </c>
      <c r="CB1" s="77" t="s">
        <v>632</v>
      </c>
      <c r="CC1" s="77" t="s">
        <v>633</v>
      </c>
      <c r="CD1" s="77" t="s">
        <v>634</v>
      </c>
      <c r="CE1" s="77" t="s">
        <v>635</v>
      </c>
      <c r="CF1" s="77" t="s">
        <v>636</v>
      </c>
      <c r="CG1" s="77" t="s">
        <v>637</v>
      </c>
      <c r="CH1" s="77" t="s">
        <v>638</v>
      </c>
      <c r="CI1" s="77" t="s">
        <v>639</v>
      </c>
      <c r="CJ1" s="77" t="s">
        <v>521</v>
      </c>
      <c r="CK1" s="77" t="s">
        <v>522</v>
      </c>
      <c r="CL1" s="77" t="s">
        <v>523</v>
      </c>
      <c r="CM1" s="77" t="s">
        <v>524</v>
      </c>
      <c r="CN1" s="77" t="s">
        <v>539</v>
      </c>
      <c r="CO1" s="77" t="s">
        <v>535</v>
      </c>
      <c r="CP1" s="77" t="s">
        <v>640</v>
      </c>
      <c r="CQ1" s="77" t="s">
        <v>641</v>
      </c>
      <c r="CR1" s="77" t="s">
        <v>642</v>
      </c>
      <c r="CS1" s="77" t="s">
        <v>541</v>
      </c>
      <c r="CT1" s="77" t="s">
        <v>542</v>
      </c>
      <c r="CU1" s="77" t="s">
        <v>643</v>
      </c>
      <c r="CV1" s="77" t="s">
        <v>544</v>
      </c>
      <c r="CW1" s="77" t="s">
        <v>644</v>
      </c>
      <c r="CX1" s="77" t="s">
        <v>546</v>
      </c>
      <c r="CY1" s="77" t="s">
        <v>645</v>
      </c>
      <c r="CZ1" s="77" t="s">
        <v>547</v>
      </c>
      <c r="DA1" s="77" t="s">
        <v>646</v>
      </c>
      <c r="DB1" s="77" t="s">
        <v>548</v>
      </c>
      <c r="DC1" s="77" t="s">
        <v>549</v>
      </c>
      <c r="DD1" s="77" t="s">
        <v>550</v>
      </c>
      <c r="DE1" s="77" t="s">
        <v>551</v>
      </c>
      <c r="DF1" s="77" t="s">
        <v>552</v>
      </c>
    </row>
    <row r="2" customFormat="false" ht="15" hidden="false" customHeight="true" outlineLevel="0" collapsed="false">
      <c r="A2" s="81" t="n">
        <v>46111.5756944444</v>
      </c>
      <c r="B2" s="81" t="n">
        <v>46111.5833333333</v>
      </c>
      <c r="C2" s="79" t="s">
        <v>308</v>
      </c>
      <c r="D2" s="79" t="s">
        <v>647</v>
      </c>
      <c r="E2" s="79" t="s">
        <v>648</v>
      </c>
      <c r="F2" s="79" t="s">
        <v>307</v>
      </c>
      <c r="AT2" s="79" t="n">
        <v>4</v>
      </c>
      <c r="AU2" s="79" t="n">
        <v>4</v>
      </c>
      <c r="AV2" s="79" t="n">
        <v>4</v>
      </c>
      <c r="AW2" s="79" t="n">
        <v>4</v>
      </c>
      <c r="AX2" s="79" t="n">
        <v>4</v>
      </c>
      <c r="AY2" s="79" t="n">
        <v>3</v>
      </c>
      <c r="AZ2" s="79" t="n">
        <v>3</v>
      </c>
      <c r="BA2" s="79" t="n">
        <v>3</v>
      </c>
      <c r="BB2" s="79" t="n">
        <v>3</v>
      </c>
      <c r="BC2" s="79" t="n">
        <v>4</v>
      </c>
      <c r="BD2" s="79" t="n">
        <v>4</v>
      </c>
      <c r="BE2" s="79" t="n">
        <v>3</v>
      </c>
      <c r="BF2" s="79" t="n">
        <v>3</v>
      </c>
      <c r="BG2" s="79" t="n">
        <v>3</v>
      </c>
      <c r="BH2" s="79" t="n">
        <v>4</v>
      </c>
      <c r="BI2" s="79" t="n">
        <v>4</v>
      </c>
      <c r="BJ2" s="79" t="n">
        <v>3</v>
      </c>
      <c r="BK2" s="79" t="n">
        <v>3</v>
      </c>
      <c r="BL2" s="79" t="n">
        <v>3</v>
      </c>
      <c r="BM2" s="79" t="n">
        <v>3</v>
      </c>
      <c r="BN2" s="79" t="n">
        <v>3</v>
      </c>
      <c r="CJ2" s="79" t="n">
        <v>3</v>
      </c>
      <c r="CK2" s="79" t="n">
        <v>4</v>
      </c>
      <c r="CL2" s="79" t="n">
        <v>4</v>
      </c>
      <c r="CS2" s="79" t="n">
        <v>4</v>
      </c>
      <c r="CT2" s="79" t="n">
        <v>4</v>
      </c>
      <c r="CU2" s="79" t="n">
        <v>4</v>
      </c>
      <c r="CV2" s="79" t="s">
        <v>554</v>
      </c>
      <c r="CW2" s="79" t="s">
        <v>554</v>
      </c>
      <c r="CX2" s="79" t="s">
        <v>555</v>
      </c>
      <c r="CZ2" s="79" t="s">
        <v>556</v>
      </c>
      <c r="DB2" s="79" t="s">
        <v>557</v>
      </c>
      <c r="DD2" s="79" t="s">
        <v>569</v>
      </c>
      <c r="DF2" s="79" t="s">
        <v>649</v>
      </c>
    </row>
    <row r="3" customFormat="false" ht="15" hidden="false" customHeight="true" outlineLevel="0" collapsed="false">
      <c r="A3" s="81" t="n">
        <v>46111.6256944445</v>
      </c>
      <c r="B3" s="81" t="n">
        <v>46111.6354166667</v>
      </c>
      <c r="C3" s="79" t="s">
        <v>324</v>
      </c>
      <c r="D3" s="79" t="s">
        <v>169</v>
      </c>
      <c r="E3" s="79" t="s">
        <v>650</v>
      </c>
      <c r="F3" s="79" t="s">
        <v>323</v>
      </c>
      <c r="CD3" s="79" t="n">
        <v>4</v>
      </c>
      <c r="CE3" s="79" t="n">
        <v>4</v>
      </c>
      <c r="CF3" s="79" t="n">
        <v>3</v>
      </c>
      <c r="CG3" s="79" t="n">
        <v>5</v>
      </c>
      <c r="CH3" s="79" t="n">
        <v>5</v>
      </c>
      <c r="CI3" s="79" t="n">
        <v>5</v>
      </c>
      <c r="CM3" s="79" t="n">
        <v>5</v>
      </c>
      <c r="CN3" s="79" t="n">
        <v>5</v>
      </c>
      <c r="CO3" s="79" t="n">
        <v>5</v>
      </c>
      <c r="CS3" s="79" t="n">
        <v>5</v>
      </c>
      <c r="CT3" s="79" t="n">
        <v>5</v>
      </c>
      <c r="CU3" s="79" t="n">
        <v>5</v>
      </c>
      <c r="CV3" s="79" t="s">
        <v>554</v>
      </c>
      <c r="CW3" s="79" t="s">
        <v>554</v>
      </c>
      <c r="CX3" s="79" t="s">
        <v>563</v>
      </c>
      <c r="CZ3" s="79" t="s">
        <v>566</v>
      </c>
      <c r="DB3" s="79" t="s">
        <v>557</v>
      </c>
      <c r="DD3" s="79" t="s">
        <v>567</v>
      </c>
      <c r="DF3" s="79" t="s">
        <v>651</v>
      </c>
    </row>
    <row r="4" customFormat="false" ht="15" hidden="false" customHeight="true" outlineLevel="0" collapsed="false">
      <c r="A4" s="81" t="n">
        <v>46112.6444444444</v>
      </c>
      <c r="B4" s="81" t="n">
        <v>46112.6479166667</v>
      </c>
      <c r="C4" s="79" t="s">
        <v>187</v>
      </c>
      <c r="D4" s="79" t="s">
        <v>141</v>
      </c>
      <c r="E4" s="79" t="s">
        <v>562</v>
      </c>
      <c r="F4" s="79" t="s">
        <v>329</v>
      </c>
      <c r="Z4" s="79" t="n">
        <v>3</v>
      </c>
      <c r="AA4" s="79" t="n">
        <v>3</v>
      </c>
      <c r="AB4" s="79" t="n">
        <v>3</v>
      </c>
      <c r="AC4" s="79" t="n">
        <v>3</v>
      </c>
      <c r="AD4" s="79" t="n">
        <v>3</v>
      </c>
      <c r="AE4" s="79" t="n">
        <v>3</v>
      </c>
      <c r="AF4" s="79" t="n">
        <v>3</v>
      </c>
      <c r="AG4" s="79" t="n">
        <v>2</v>
      </c>
      <c r="AH4" s="79" t="n">
        <v>3</v>
      </c>
      <c r="CJ4" s="79" t="n">
        <v>3</v>
      </c>
      <c r="CK4" s="79" t="n">
        <v>3</v>
      </c>
      <c r="CL4" s="79" t="n">
        <v>3</v>
      </c>
      <c r="CS4" s="79" t="n">
        <v>3</v>
      </c>
      <c r="CT4" s="79" t="n">
        <v>3</v>
      </c>
      <c r="CU4" s="79" t="n">
        <v>3</v>
      </c>
      <c r="CV4" s="79" t="s">
        <v>78</v>
      </c>
      <c r="CW4" s="79" t="s">
        <v>78</v>
      </c>
      <c r="CX4" s="79" t="s">
        <v>555</v>
      </c>
      <c r="CZ4" s="79" t="s">
        <v>556</v>
      </c>
      <c r="DB4" s="79" t="s">
        <v>652</v>
      </c>
      <c r="DD4" s="79" t="s">
        <v>567</v>
      </c>
      <c r="DF4" s="79" t="s">
        <v>653</v>
      </c>
    </row>
    <row r="5" customFormat="false" ht="15" hidden="false" customHeight="true" outlineLevel="0" collapsed="false">
      <c r="A5" s="81" t="n">
        <v>46112.69375</v>
      </c>
      <c r="B5" s="81" t="n">
        <v>46112.6986111111</v>
      </c>
      <c r="C5" s="79" t="s">
        <v>332</v>
      </c>
      <c r="D5" s="79" t="s">
        <v>654</v>
      </c>
      <c r="E5" s="79" t="s">
        <v>655</v>
      </c>
      <c r="F5" s="79" t="s">
        <v>331</v>
      </c>
      <c r="AI5" s="79" t="n">
        <v>3</v>
      </c>
      <c r="AJ5" s="79" t="n">
        <v>3</v>
      </c>
      <c r="AK5" s="79" t="n">
        <v>3</v>
      </c>
      <c r="AL5" s="79" t="n">
        <v>3</v>
      </c>
      <c r="AM5" s="79" t="n">
        <v>3</v>
      </c>
      <c r="AN5" s="79" t="n">
        <v>3</v>
      </c>
      <c r="AO5" s="79" t="n">
        <v>3</v>
      </c>
      <c r="AP5" s="79" t="n">
        <v>4</v>
      </c>
      <c r="AQ5" s="79" t="n">
        <v>4</v>
      </c>
      <c r="AR5" s="79" t="n">
        <v>3</v>
      </c>
      <c r="AS5" s="79" t="n">
        <v>3</v>
      </c>
      <c r="CJ5" s="79" t="n">
        <v>3</v>
      </c>
      <c r="CK5" s="79" t="n">
        <v>3</v>
      </c>
      <c r="CL5" s="79" t="n">
        <v>3</v>
      </c>
      <c r="CS5" s="79" t="n">
        <v>3</v>
      </c>
      <c r="CT5" s="79" t="n">
        <v>4</v>
      </c>
      <c r="CU5" s="79" t="n">
        <v>3</v>
      </c>
      <c r="CV5" s="79" t="s">
        <v>554</v>
      </c>
      <c r="CW5" s="79" t="s">
        <v>554</v>
      </c>
      <c r="CX5" s="79" t="s">
        <v>563</v>
      </c>
      <c r="DB5" s="79" t="s">
        <v>557</v>
      </c>
      <c r="DD5" s="79" t="s">
        <v>567</v>
      </c>
      <c r="DF5" s="79" t="s">
        <v>656</v>
      </c>
    </row>
    <row r="6" customFormat="false" ht="15" hidden="false" customHeight="true" outlineLevel="0" collapsed="false">
      <c r="A6" s="81" t="n">
        <v>46113.3493055556</v>
      </c>
      <c r="B6" s="81" t="n">
        <v>46113.3520833333</v>
      </c>
      <c r="C6" s="79" t="s">
        <v>336</v>
      </c>
      <c r="D6" s="79" t="s">
        <v>176</v>
      </c>
      <c r="E6" s="79" t="s">
        <v>657</v>
      </c>
      <c r="F6" s="79" t="s">
        <v>335</v>
      </c>
      <c r="BX6" s="79" t="n">
        <v>3</v>
      </c>
      <c r="BY6" s="79" t="n">
        <v>3</v>
      </c>
      <c r="BZ6" s="79" t="n">
        <v>3</v>
      </c>
      <c r="CA6" s="79" t="n">
        <v>3</v>
      </c>
      <c r="CB6" s="79" t="n">
        <v>3</v>
      </c>
      <c r="CC6" s="79" t="n">
        <v>3</v>
      </c>
      <c r="CP6" s="79" t="n">
        <v>3</v>
      </c>
      <c r="CQ6" s="79" t="n">
        <v>3</v>
      </c>
      <c r="CR6" s="79" t="n">
        <v>3</v>
      </c>
      <c r="CS6" s="79" t="n">
        <v>3</v>
      </c>
      <c r="CT6" s="79" t="n">
        <v>3</v>
      </c>
      <c r="CU6" s="79" t="n">
        <v>3</v>
      </c>
      <c r="DF6" s="79" t="s">
        <v>658</v>
      </c>
    </row>
    <row r="7" customFormat="false" ht="15" hidden="false" customHeight="true" outlineLevel="0" collapsed="false">
      <c r="A7" s="81" t="n">
        <v>46114.5638888889</v>
      </c>
      <c r="B7" s="81" t="n">
        <v>46114.5722222222</v>
      </c>
      <c r="C7" s="79" t="s">
        <v>341</v>
      </c>
      <c r="D7" s="79" t="s">
        <v>659</v>
      </c>
      <c r="E7" s="79" t="s">
        <v>660</v>
      </c>
      <c r="F7" s="79" t="s">
        <v>340</v>
      </c>
      <c r="O7" s="79" t="n">
        <v>3</v>
      </c>
      <c r="P7" s="79" t="n">
        <v>3</v>
      </c>
      <c r="Q7" s="79" t="n">
        <v>3</v>
      </c>
      <c r="R7" s="79" t="n">
        <v>3</v>
      </c>
      <c r="S7" s="79" t="n">
        <v>3</v>
      </c>
      <c r="T7" s="79" t="n">
        <v>3</v>
      </c>
      <c r="U7" s="79" t="n">
        <v>4</v>
      </c>
      <c r="V7" s="79" t="n">
        <v>3</v>
      </c>
      <c r="W7" s="79" t="n">
        <v>3</v>
      </c>
      <c r="X7" s="79" t="n">
        <v>3</v>
      </c>
      <c r="Y7" s="79" t="n">
        <v>3</v>
      </c>
      <c r="CJ7" s="79" t="n">
        <v>3</v>
      </c>
      <c r="CK7" s="79" t="n">
        <v>3</v>
      </c>
      <c r="CL7" s="79" t="n">
        <v>3</v>
      </c>
      <c r="CS7" s="79" t="n">
        <v>3</v>
      </c>
      <c r="CT7" s="79" t="n">
        <v>3</v>
      </c>
      <c r="CU7" s="79" t="n">
        <v>3</v>
      </c>
      <c r="CV7" s="79" t="s">
        <v>554</v>
      </c>
      <c r="CW7" s="79" t="s">
        <v>554</v>
      </c>
      <c r="CX7" s="79" t="s">
        <v>563</v>
      </c>
      <c r="CZ7" s="79" t="s">
        <v>579</v>
      </c>
      <c r="DB7" s="79" t="s">
        <v>557</v>
      </c>
      <c r="DD7" s="79" t="s">
        <v>558</v>
      </c>
      <c r="DF7" s="79" t="s">
        <v>661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FU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662</v>
      </c>
      <c r="B1" s="1" t="s">
        <v>663</v>
      </c>
      <c r="C1" s="1" t="s">
        <v>664</v>
      </c>
      <c r="D1" s="1" t="s">
        <v>354</v>
      </c>
      <c r="E1" s="1" t="s">
        <v>665</v>
      </c>
      <c r="F1" s="1" t="s">
        <v>666</v>
      </c>
      <c r="G1" s="1" t="s">
        <v>357</v>
      </c>
      <c r="H1" s="1" t="s">
        <v>358</v>
      </c>
      <c r="I1" s="1" t="s">
        <v>359</v>
      </c>
      <c r="J1" s="1" t="s">
        <v>360</v>
      </c>
      <c r="K1" s="1" t="s">
        <v>361</v>
      </c>
      <c r="L1" s="1" t="s">
        <v>362</v>
      </c>
      <c r="M1" s="1" t="s">
        <v>363</v>
      </c>
      <c r="N1" s="1" t="s">
        <v>364</v>
      </c>
      <c r="O1" s="1" t="s">
        <v>365</v>
      </c>
      <c r="P1" s="1" t="s">
        <v>366</v>
      </c>
      <c r="Q1" s="1" t="s">
        <v>367</v>
      </c>
      <c r="R1" s="1" t="s">
        <v>368</v>
      </c>
      <c r="S1" s="1" t="s">
        <v>369</v>
      </c>
      <c r="T1" s="1" t="s">
        <v>370</v>
      </c>
      <c r="U1" s="1" t="s">
        <v>371</v>
      </c>
      <c r="V1" s="1" t="s">
        <v>372</v>
      </c>
      <c r="W1" s="1" t="s">
        <v>373</v>
      </c>
      <c r="X1" s="1" t="s">
        <v>375</v>
      </c>
      <c r="Y1" s="1" t="s">
        <v>376</v>
      </c>
      <c r="Z1" s="1" t="s">
        <v>377</v>
      </c>
      <c r="AA1" s="1" t="s">
        <v>378</v>
      </c>
      <c r="AB1" s="1" t="s">
        <v>379</v>
      </c>
      <c r="AC1" s="1" t="s">
        <v>380</v>
      </c>
      <c r="AD1" s="1" t="s">
        <v>381</v>
      </c>
      <c r="AE1" s="1" t="s">
        <v>382</v>
      </c>
      <c r="AF1" s="1" t="s">
        <v>383</v>
      </c>
      <c r="AG1" s="1" t="s">
        <v>384</v>
      </c>
      <c r="AH1" s="1" t="s">
        <v>385</v>
      </c>
      <c r="AI1" s="1" t="s">
        <v>386</v>
      </c>
      <c r="AJ1" s="1" t="s">
        <v>387</v>
      </c>
      <c r="AK1" s="1" t="s">
        <v>388</v>
      </c>
      <c r="AL1" s="1" t="s">
        <v>389</v>
      </c>
      <c r="AM1" s="1" t="s">
        <v>390</v>
      </c>
      <c r="AN1" s="1" t="s">
        <v>391</v>
      </c>
      <c r="AO1" s="1" t="s">
        <v>392</v>
      </c>
      <c r="AP1" s="1" t="s">
        <v>393</v>
      </c>
      <c r="AQ1" s="1" t="s">
        <v>394</v>
      </c>
      <c r="AR1" s="1" t="s">
        <v>395</v>
      </c>
      <c r="AS1" s="1" t="s">
        <v>396</v>
      </c>
      <c r="AT1" s="1" t="s">
        <v>397</v>
      </c>
      <c r="AU1" s="1" t="s">
        <v>398</v>
      </c>
      <c r="AV1" s="1" t="s">
        <v>399</v>
      </c>
      <c r="AW1" s="1" t="s">
        <v>400</v>
      </c>
      <c r="AX1" s="1" t="s">
        <v>401</v>
      </c>
      <c r="AY1" s="1" t="s">
        <v>402</v>
      </c>
      <c r="AZ1" s="1" t="s">
        <v>403</v>
      </c>
      <c r="BA1" s="1" t="s">
        <v>404</v>
      </c>
      <c r="BB1" s="1" t="s">
        <v>405</v>
      </c>
      <c r="BC1" s="1" t="s">
        <v>406</v>
      </c>
      <c r="BD1" s="1" t="s">
        <v>407</v>
      </c>
      <c r="BE1" s="1" t="s">
        <v>408</v>
      </c>
      <c r="BF1" s="1" t="s">
        <v>409</v>
      </c>
      <c r="BG1" s="1" t="s">
        <v>410</v>
      </c>
      <c r="BH1" s="1" t="s">
        <v>411</v>
      </c>
      <c r="BI1" s="1" t="s">
        <v>412</v>
      </c>
      <c r="BJ1" s="1" t="s">
        <v>413</v>
      </c>
      <c r="BK1" s="1" t="s">
        <v>414</v>
      </c>
      <c r="BL1" s="1" t="s">
        <v>415</v>
      </c>
      <c r="BM1" s="1" t="s">
        <v>416</v>
      </c>
      <c r="BN1" s="1" t="s">
        <v>417</v>
      </c>
      <c r="BO1" s="1" t="s">
        <v>418</v>
      </c>
      <c r="BP1" s="1" t="s">
        <v>419</v>
      </c>
      <c r="BQ1" s="1" t="s">
        <v>420</v>
      </c>
      <c r="BR1" s="1" t="s">
        <v>421</v>
      </c>
      <c r="BS1" s="1" t="s">
        <v>422</v>
      </c>
      <c r="BT1" s="1" t="s">
        <v>423</v>
      </c>
      <c r="BU1" s="1" t="s">
        <v>424</v>
      </c>
      <c r="BV1" s="1" t="s">
        <v>425</v>
      </c>
      <c r="BW1" s="1" t="s">
        <v>426</v>
      </c>
      <c r="BX1" s="1" t="s">
        <v>427</v>
      </c>
      <c r="BY1" s="1" t="s">
        <v>428</v>
      </c>
      <c r="BZ1" s="1" t="s">
        <v>429</v>
      </c>
      <c r="CA1" s="1" t="s">
        <v>430</v>
      </c>
      <c r="CB1" s="1" t="s">
        <v>431</v>
      </c>
      <c r="CC1" s="1" t="s">
        <v>432</v>
      </c>
      <c r="CD1" s="1" t="s">
        <v>433</v>
      </c>
      <c r="CE1" s="1" t="s">
        <v>434</v>
      </c>
      <c r="CF1" s="1" t="s">
        <v>435</v>
      </c>
      <c r="CG1" s="1" t="s">
        <v>436</v>
      </c>
      <c r="CH1" s="1" t="s">
        <v>437</v>
      </c>
      <c r="CI1" s="1" t="s">
        <v>438</v>
      </c>
      <c r="CJ1" s="1" t="s">
        <v>439</v>
      </c>
      <c r="CK1" s="1" t="s">
        <v>440</v>
      </c>
      <c r="CL1" s="1" t="s">
        <v>441</v>
      </c>
      <c r="CM1" s="1" t="s">
        <v>442</v>
      </c>
      <c r="CN1" s="1" t="s">
        <v>443</v>
      </c>
      <c r="CO1" s="1" t="s">
        <v>444</v>
      </c>
      <c r="CP1" s="1" t="s">
        <v>445</v>
      </c>
      <c r="CQ1" s="1" t="s">
        <v>446</v>
      </c>
      <c r="CR1" s="1" t="s">
        <v>447</v>
      </c>
      <c r="CS1" s="1" t="s">
        <v>448</v>
      </c>
      <c r="CT1" s="1" t="s">
        <v>449</v>
      </c>
      <c r="CU1" s="1" t="s">
        <v>450</v>
      </c>
      <c r="CV1" s="1" t="s">
        <v>451</v>
      </c>
      <c r="CW1" s="1" t="s">
        <v>452</v>
      </c>
      <c r="CX1" s="1" t="s">
        <v>453</v>
      </c>
      <c r="CY1" s="1" t="s">
        <v>454</v>
      </c>
      <c r="CZ1" s="1" t="s">
        <v>455</v>
      </c>
      <c r="DA1" s="1" t="s">
        <v>456</v>
      </c>
      <c r="DB1" s="1" t="s">
        <v>457</v>
      </c>
      <c r="DC1" s="1" t="s">
        <v>458</v>
      </c>
      <c r="DD1" s="1" t="s">
        <v>459</v>
      </c>
      <c r="DE1" s="1" t="s">
        <v>460</v>
      </c>
      <c r="DF1" s="1" t="s">
        <v>461</v>
      </c>
      <c r="DG1" s="1" t="s">
        <v>462</v>
      </c>
      <c r="DH1" s="1" t="s">
        <v>463</v>
      </c>
      <c r="DI1" s="1" t="s">
        <v>464</v>
      </c>
      <c r="DJ1" s="1" t="s">
        <v>465</v>
      </c>
      <c r="DK1" s="1" t="s">
        <v>466</v>
      </c>
      <c r="DL1" s="1" t="s">
        <v>467</v>
      </c>
      <c r="DM1" s="1" t="s">
        <v>468</v>
      </c>
      <c r="DN1" s="1" t="s">
        <v>469</v>
      </c>
      <c r="DO1" s="1" t="s">
        <v>470</v>
      </c>
      <c r="DP1" s="1" t="s">
        <v>471</v>
      </c>
      <c r="DQ1" s="1" t="s">
        <v>472</v>
      </c>
      <c r="DR1" s="1" t="s">
        <v>473</v>
      </c>
      <c r="DS1" s="1" t="s">
        <v>474</v>
      </c>
      <c r="DT1" s="1" t="s">
        <v>475</v>
      </c>
      <c r="DU1" s="1" t="s">
        <v>476</v>
      </c>
      <c r="DV1" s="1" t="s">
        <v>477</v>
      </c>
      <c r="DW1" s="1" t="s">
        <v>478</v>
      </c>
      <c r="DX1" s="1" t="s">
        <v>479</v>
      </c>
      <c r="DY1" s="1" t="s">
        <v>480</v>
      </c>
      <c r="DZ1" s="1" t="s">
        <v>481</v>
      </c>
      <c r="EA1" s="1" t="s">
        <v>482</v>
      </c>
      <c r="EB1" s="1" t="s">
        <v>483</v>
      </c>
      <c r="EC1" s="1" t="s">
        <v>484</v>
      </c>
      <c r="ED1" s="1" t="s">
        <v>485</v>
      </c>
      <c r="EE1" s="1" t="s">
        <v>486</v>
      </c>
      <c r="EF1" s="1" t="s">
        <v>487</v>
      </c>
      <c r="EG1" s="1" t="s">
        <v>488</v>
      </c>
      <c r="EH1" s="1" t="s">
        <v>489</v>
      </c>
      <c r="EI1" s="1" t="s">
        <v>491</v>
      </c>
      <c r="EJ1" s="1" t="s">
        <v>492</v>
      </c>
      <c r="EK1" s="1" t="s">
        <v>493</v>
      </c>
      <c r="EL1" s="82" t="s">
        <v>511</v>
      </c>
      <c r="EM1" s="1" t="s">
        <v>512</v>
      </c>
      <c r="EN1" s="1" t="s">
        <v>513</v>
      </c>
      <c r="EO1" s="82" t="s">
        <v>514</v>
      </c>
      <c r="EP1" s="1" t="s">
        <v>515</v>
      </c>
      <c r="EQ1" s="1" t="s">
        <v>516</v>
      </c>
      <c r="ER1" s="82" t="s">
        <v>517</v>
      </c>
      <c r="ES1" s="1" t="s">
        <v>518</v>
      </c>
      <c r="ET1" s="1" t="s">
        <v>519</v>
      </c>
      <c r="EU1" s="1" t="s">
        <v>521</v>
      </c>
      <c r="EV1" s="1" t="s">
        <v>522</v>
      </c>
      <c r="EW1" s="1" t="s">
        <v>523</v>
      </c>
      <c r="EX1" s="1" t="s">
        <v>524</v>
      </c>
      <c r="EY1" s="82" t="s">
        <v>525</v>
      </c>
      <c r="EZ1" s="82" t="s">
        <v>526</v>
      </c>
      <c r="FA1" s="82" t="s">
        <v>527</v>
      </c>
      <c r="FB1" s="1" t="s">
        <v>528</v>
      </c>
      <c r="FC1" s="82" t="s">
        <v>529</v>
      </c>
      <c r="FD1" s="82" t="s">
        <v>530</v>
      </c>
      <c r="FE1" s="82" t="s">
        <v>531</v>
      </c>
      <c r="FF1" s="1" t="s">
        <v>532</v>
      </c>
      <c r="FG1" s="1" t="s">
        <v>534</v>
      </c>
      <c r="FH1" s="1" t="s">
        <v>535</v>
      </c>
      <c r="FI1" s="1" t="s">
        <v>537</v>
      </c>
      <c r="FJ1" s="1" t="s">
        <v>538</v>
      </c>
      <c r="FK1" s="1" t="s">
        <v>539</v>
      </c>
      <c r="FL1" s="1" t="s">
        <v>540</v>
      </c>
      <c r="FM1" s="1" t="s">
        <v>541</v>
      </c>
      <c r="FN1" s="1" t="s">
        <v>542</v>
      </c>
      <c r="FO1" s="82" t="s">
        <v>543</v>
      </c>
      <c r="FP1" s="1" t="s">
        <v>544</v>
      </c>
      <c r="FQ1" s="1" t="s">
        <v>545</v>
      </c>
      <c r="FR1" s="1" t="s">
        <v>546</v>
      </c>
      <c r="FS1" s="1" t="s">
        <v>547</v>
      </c>
      <c r="FT1" s="1" t="s">
        <v>548</v>
      </c>
      <c r="FU1" s="1" t="s">
        <v>552</v>
      </c>
    </row>
    <row r="2" customFormat="false" ht="15" hidden="false" customHeight="false" outlineLevel="0" collapsed="false">
      <c r="A2" s="1" t="n">
        <v>1</v>
      </c>
      <c r="B2" s="83" t="n">
        <v>46204.4056944445</v>
      </c>
      <c r="C2" s="83" t="n">
        <v>46204.555462963</v>
      </c>
      <c r="D2" s="1" t="s">
        <v>300</v>
      </c>
      <c r="E2" s="1" t="s">
        <v>161</v>
      </c>
      <c r="F2" s="1" t="s">
        <v>578</v>
      </c>
      <c r="G2" s="1" t="s">
        <v>299</v>
      </c>
      <c r="BX2" s="1" t="n">
        <v>4</v>
      </c>
      <c r="BY2" s="1" t="n">
        <v>4</v>
      </c>
      <c r="BZ2" s="1" t="n">
        <v>4</v>
      </c>
      <c r="CA2" s="1" t="n">
        <v>4</v>
      </c>
      <c r="CB2" s="1" t="n">
        <v>4</v>
      </c>
      <c r="CC2" s="1" t="n">
        <v>4</v>
      </c>
      <c r="CD2" s="1" t="n">
        <v>4</v>
      </c>
      <c r="CE2" s="1" t="n">
        <v>4</v>
      </c>
      <c r="CF2" s="1" t="n">
        <v>4</v>
      </c>
      <c r="CG2" s="1" t="n">
        <v>4</v>
      </c>
      <c r="CH2" s="1" t="n">
        <v>4</v>
      </c>
      <c r="CI2" s="1" t="n">
        <v>4</v>
      </c>
      <c r="CJ2" s="1" t="n">
        <v>4</v>
      </c>
      <c r="CK2" s="1" t="n">
        <v>4</v>
      </c>
      <c r="CL2" s="1" t="n">
        <v>4</v>
      </c>
      <c r="CM2" s="1" t="n">
        <v>4</v>
      </c>
      <c r="CN2" s="1" t="n">
        <v>4</v>
      </c>
      <c r="CO2" s="1" t="n">
        <v>4</v>
      </c>
      <c r="CP2" s="1" t="n">
        <v>4</v>
      </c>
      <c r="CQ2" s="1" t="n">
        <v>4</v>
      </c>
      <c r="CR2" s="1" t="n">
        <v>4</v>
      </c>
      <c r="CS2" s="1" t="n">
        <v>4</v>
      </c>
      <c r="CT2" s="1" t="n">
        <v>4</v>
      </c>
      <c r="CU2" s="1" t="n">
        <v>4</v>
      </c>
      <c r="CV2" s="1" t="n">
        <v>4</v>
      </c>
      <c r="CW2" s="1" t="n">
        <v>4</v>
      </c>
      <c r="CX2" s="1" t="n">
        <v>4</v>
      </c>
      <c r="CY2" s="1" t="n">
        <v>4</v>
      </c>
      <c r="CZ2" s="1" t="n">
        <v>4</v>
      </c>
      <c r="DA2" s="1" t="n">
        <v>4</v>
      </c>
      <c r="DB2" s="1" t="n">
        <v>4</v>
      </c>
      <c r="DC2" s="1" t="n">
        <v>4</v>
      </c>
      <c r="DD2" s="1" t="n">
        <v>4</v>
      </c>
      <c r="DE2" s="1" t="n">
        <v>4</v>
      </c>
      <c r="DF2" s="1" t="n">
        <v>4</v>
      </c>
      <c r="DG2" s="1" t="n">
        <v>4</v>
      </c>
      <c r="DH2" s="1" t="n">
        <v>4</v>
      </c>
      <c r="EU2" s="1" t="n">
        <v>4</v>
      </c>
      <c r="EV2" s="1" t="n">
        <v>4</v>
      </c>
      <c r="EW2" s="1" t="n">
        <v>4</v>
      </c>
      <c r="FM2" s="1" t="n">
        <v>4</v>
      </c>
      <c r="FN2" s="1" t="n">
        <v>4</v>
      </c>
      <c r="FO2" s="1" t="n">
        <v>4</v>
      </c>
      <c r="FP2" s="1" t="s">
        <v>554</v>
      </c>
      <c r="FQ2" s="1" t="s">
        <v>554</v>
      </c>
      <c r="FR2" s="1" t="s">
        <v>667</v>
      </c>
      <c r="FS2" s="1" t="s">
        <v>668</v>
      </c>
      <c r="FT2" s="1" t="s">
        <v>669</v>
      </c>
      <c r="FU2" s="1" t="s">
        <v>670</v>
      </c>
    </row>
    <row r="3" customFormat="false" ht="15" hidden="false" customHeight="false" outlineLevel="0" collapsed="false">
      <c r="A3" s="1" t="n">
        <v>2</v>
      </c>
      <c r="B3" s="83" t="n">
        <v>46204.7017592593</v>
      </c>
      <c r="C3" s="83" t="n">
        <v>46204.8796412037</v>
      </c>
      <c r="D3" s="1" t="s">
        <v>286</v>
      </c>
      <c r="E3" s="1" t="s">
        <v>152</v>
      </c>
      <c r="F3" s="1" t="s">
        <v>572</v>
      </c>
      <c r="G3" s="1" t="s">
        <v>285</v>
      </c>
      <c r="H3" s="1" t="n">
        <v>3</v>
      </c>
      <c r="I3" s="1" t="n">
        <v>3</v>
      </c>
      <c r="J3" s="1" t="n">
        <v>4</v>
      </c>
      <c r="K3" s="1" t="n">
        <v>4</v>
      </c>
      <c r="L3" s="1" t="n">
        <v>4</v>
      </c>
      <c r="M3" s="1" t="n">
        <v>4</v>
      </c>
      <c r="N3" s="1" t="n">
        <v>4</v>
      </c>
      <c r="O3" s="1" t="n">
        <v>3</v>
      </c>
      <c r="P3" s="1" t="n">
        <v>3</v>
      </c>
      <c r="Q3" s="1" t="n">
        <v>4</v>
      </c>
      <c r="R3" s="1" t="n">
        <v>4</v>
      </c>
      <c r="S3" s="1" t="n">
        <v>4</v>
      </c>
      <c r="T3" s="1" t="n">
        <v>4</v>
      </c>
      <c r="U3" s="1" t="n">
        <v>4</v>
      </c>
      <c r="V3" s="1" t="n">
        <v>4</v>
      </c>
      <c r="W3" s="1" t="n">
        <v>4</v>
      </c>
      <c r="X3" s="1" t="n">
        <v>4</v>
      </c>
      <c r="Y3" s="1" t="n">
        <v>3</v>
      </c>
      <c r="Z3" s="1" t="n">
        <v>3</v>
      </c>
      <c r="EU3" s="1" t="n">
        <v>3</v>
      </c>
      <c r="EV3" s="1" t="n">
        <v>3</v>
      </c>
      <c r="EW3" s="1" t="n">
        <v>3</v>
      </c>
      <c r="FM3" s="1" t="n">
        <v>4</v>
      </c>
      <c r="FN3" s="1" t="n">
        <v>4</v>
      </c>
      <c r="FO3" s="1" t="n">
        <v>3</v>
      </c>
      <c r="FP3" s="1" t="s">
        <v>554</v>
      </c>
      <c r="FQ3" s="1" t="s">
        <v>554</v>
      </c>
      <c r="FR3" s="1" t="s">
        <v>671</v>
      </c>
      <c r="FS3" s="1" t="s">
        <v>668</v>
      </c>
      <c r="FT3" s="1" t="s">
        <v>671</v>
      </c>
      <c r="FU3" s="1" t="s">
        <v>672</v>
      </c>
    </row>
    <row r="4" customFormat="false" ht="15" hidden="false" customHeight="false" outlineLevel="0" collapsed="false">
      <c r="A4" s="1" t="n">
        <v>3</v>
      </c>
      <c r="B4" s="83" t="n">
        <v>46205.6210416667</v>
      </c>
      <c r="C4" s="83" t="n">
        <v>46205.6295601852</v>
      </c>
      <c r="D4" s="1" t="s">
        <v>296</v>
      </c>
      <c r="E4" s="1" t="s">
        <v>158</v>
      </c>
      <c r="F4" s="1" t="s">
        <v>576</v>
      </c>
      <c r="G4" s="1" t="s">
        <v>295</v>
      </c>
      <c r="EF4" s="1" t="n">
        <v>3</v>
      </c>
      <c r="EG4" s="1" t="n">
        <v>3</v>
      </c>
      <c r="EH4" s="1" t="n">
        <v>3</v>
      </c>
      <c r="EI4" s="1" t="n">
        <v>3</v>
      </c>
      <c r="EJ4" s="1" t="n">
        <v>2</v>
      </c>
      <c r="EK4" s="1" t="n">
        <v>3</v>
      </c>
      <c r="EU4" s="1" t="n">
        <v>3</v>
      </c>
      <c r="EV4" s="1" t="n">
        <v>3</v>
      </c>
      <c r="EW4" s="1" t="n">
        <v>3</v>
      </c>
      <c r="FM4" s="1" t="n">
        <v>3</v>
      </c>
      <c r="FN4" s="1" t="n">
        <v>3</v>
      </c>
      <c r="FO4" s="1" t="n">
        <v>3</v>
      </c>
      <c r="FP4" s="1" t="s">
        <v>554</v>
      </c>
      <c r="FQ4" s="1" t="s">
        <v>554</v>
      </c>
      <c r="FR4" s="1" t="s">
        <v>667</v>
      </c>
      <c r="FS4" s="1" t="s">
        <v>671</v>
      </c>
      <c r="FT4" s="1" t="s">
        <v>669</v>
      </c>
      <c r="FU4" s="1" t="s">
        <v>673</v>
      </c>
    </row>
    <row r="5" customFormat="false" ht="15" hidden="false" customHeight="false" outlineLevel="0" collapsed="false">
      <c r="A5" s="1" t="n">
        <v>4</v>
      </c>
      <c r="B5" s="83" t="n">
        <v>46205.6472800926</v>
      </c>
      <c r="C5" s="83" t="n">
        <v>46205.6512384259</v>
      </c>
      <c r="D5" s="1" t="s">
        <v>270</v>
      </c>
      <c r="E5" s="1" t="s">
        <v>144</v>
      </c>
      <c r="F5" s="1" t="s">
        <v>674</v>
      </c>
      <c r="G5" s="1" t="s">
        <v>210</v>
      </c>
      <c r="AA5" s="1" t="n">
        <v>3</v>
      </c>
      <c r="AB5" s="1" t="n">
        <v>3</v>
      </c>
      <c r="AC5" s="1" t="n">
        <v>3</v>
      </c>
      <c r="AD5" s="1" t="n">
        <v>3</v>
      </c>
      <c r="AE5" s="1" t="n">
        <v>3</v>
      </c>
      <c r="AF5" s="1" t="n">
        <v>3</v>
      </c>
      <c r="AG5" s="1" t="n">
        <v>3</v>
      </c>
      <c r="AH5" s="1" t="n">
        <v>3</v>
      </c>
      <c r="AI5" s="1" t="n">
        <v>3</v>
      </c>
      <c r="AJ5" s="1" t="n">
        <v>3</v>
      </c>
      <c r="AK5" s="1" t="n">
        <v>3</v>
      </c>
      <c r="EX5" s="1" t="n">
        <v>3</v>
      </c>
      <c r="EY5" s="1" t="n">
        <v>3</v>
      </c>
      <c r="EZ5" s="1" t="n">
        <v>3</v>
      </c>
      <c r="FA5" s="1" t="n">
        <v>3</v>
      </c>
      <c r="FM5" s="1" t="n">
        <v>3</v>
      </c>
      <c r="FN5" s="1" t="n">
        <v>3</v>
      </c>
      <c r="FO5" s="1" t="n">
        <v>3</v>
      </c>
      <c r="FP5" s="1" t="s">
        <v>554</v>
      </c>
      <c r="FQ5" s="1" t="s">
        <v>554</v>
      </c>
      <c r="FR5" s="1" t="s">
        <v>667</v>
      </c>
      <c r="FS5" s="1" t="s">
        <v>675</v>
      </c>
      <c r="FT5" s="1" t="s">
        <v>669</v>
      </c>
      <c r="FU5" s="1" t="s">
        <v>676</v>
      </c>
    </row>
    <row r="6" customFormat="false" ht="15" hidden="false" customHeight="false" outlineLevel="0" collapsed="false">
      <c r="A6" s="1" t="n">
        <v>5</v>
      </c>
      <c r="B6" s="83" t="n">
        <v>46205.6519097222</v>
      </c>
      <c r="C6" s="83" t="n">
        <v>46205.6560300926</v>
      </c>
      <c r="D6" s="1" t="s">
        <v>270</v>
      </c>
      <c r="E6" s="1" t="s">
        <v>144</v>
      </c>
      <c r="F6" s="1" t="s">
        <v>674</v>
      </c>
      <c r="G6" s="1" t="s">
        <v>275</v>
      </c>
      <c r="DI6" s="1" t="n">
        <v>3</v>
      </c>
      <c r="DJ6" s="1" t="n">
        <v>3</v>
      </c>
      <c r="DK6" s="1" t="n">
        <v>3</v>
      </c>
      <c r="DL6" s="1" t="n">
        <v>3</v>
      </c>
      <c r="DM6" s="1" t="n">
        <v>3</v>
      </c>
      <c r="DN6" s="1" t="n">
        <v>3</v>
      </c>
      <c r="DO6" s="1" t="n">
        <v>3</v>
      </c>
      <c r="DP6" s="1" t="n">
        <v>3</v>
      </c>
      <c r="DQ6" s="1" t="n">
        <v>3</v>
      </c>
      <c r="DR6" s="1" t="n">
        <v>3</v>
      </c>
      <c r="DS6" s="1" t="n">
        <v>3</v>
      </c>
      <c r="DT6" s="1" t="n">
        <v>3</v>
      </c>
      <c r="DU6" s="1" t="n">
        <v>3</v>
      </c>
      <c r="DV6" s="1" t="n">
        <v>3</v>
      </c>
      <c r="DW6" s="1" t="n">
        <v>3</v>
      </c>
      <c r="FJ6" s="1" t="n">
        <v>3</v>
      </c>
      <c r="FK6" s="1" t="n">
        <v>3</v>
      </c>
      <c r="FL6" s="1" t="n">
        <v>3</v>
      </c>
      <c r="FM6" s="1" t="n">
        <v>3</v>
      </c>
      <c r="FN6" s="1" t="n">
        <v>3</v>
      </c>
      <c r="FO6" s="1" t="n">
        <v>3</v>
      </c>
      <c r="FP6" s="1" t="s">
        <v>554</v>
      </c>
      <c r="FQ6" s="1" t="s">
        <v>554</v>
      </c>
      <c r="FR6" s="1" t="s">
        <v>667</v>
      </c>
      <c r="FS6" s="1" t="s">
        <v>675</v>
      </c>
      <c r="FT6" s="1" t="s">
        <v>669</v>
      </c>
      <c r="FU6" s="1" t="s">
        <v>677</v>
      </c>
    </row>
    <row r="7" customFormat="false" ht="15" hidden="false" customHeight="false" outlineLevel="0" collapsed="false">
      <c r="A7" s="1" t="n">
        <v>6</v>
      </c>
      <c r="B7" s="83" t="n">
        <v>46206.3529282407</v>
      </c>
      <c r="C7" s="83" t="n">
        <v>46206.5037731482</v>
      </c>
      <c r="D7" s="1" t="s">
        <v>678</v>
      </c>
      <c r="E7" s="1" t="s">
        <v>213</v>
      </c>
      <c r="F7" s="1" t="s">
        <v>679</v>
      </c>
      <c r="G7" s="1" t="s">
        <v>275</v>
      </c>
      <c r="DI7" s="1" t="n">
        <v>4</v>
      </c>
      <c r="DJ7" s="1" t="n">
        <v>2</v>
      </c>
      <c r="DK7" s="1" t="n">
        <v>3</v>
      </c>
      <c r="DL7" s="1" t="n">
        <v>3</v>
      </c>
      <c r="DM7" s="1" t="n">
        <v>2</v>
      </c>
      <c r="DN7" s="1" t="n">
        <v>4</v>
      </c>
      <c r="DO7" s="1" t="n">
        <v>3</v>
      </c>
      <c r="DP7" s="1" t="n">
        <v>3</v>
      </c>
      <c r="DQ7" s="1" t="n">
        <v>2</v>
      </c>
      <c r="DR7" s="1" t="n">
        <v>2</v>
      </c>
      <c r="DS7" s="1" t="n">
        <v>2</v>
      </c>
      <c r="DT7" s="1" t="n">
        <v>4</v>
      </c>
      <c r="DU7" s="1" t="n">
        <v>3</v>
      </c>
      <c r="DV7" s="1" t="n">
        <v>4</v>
      </c>
      <c r="DW7" s="1" t="n">
        <v>3</v>
      </c>
      <c r="FJ7" s="1" t="n">
        <v>2</v>
      </c>
      <c r="FK7" s="1" t="n">
        <v>4</v>
      </c>
      <c r="FL7" s="1" t="n">
        <v>3</v>
      </c>
      <c r="FM7" s="1" t="n">
        <v>5</v>
      </c>
      <c r="FN7" s="1" t="n">
        <v>5</v>
      </c>
      <c r="FO7" s="1" t="n">
        <v>4</v>
      </c>
      <c r="FP7" s="1" t="s">
        <v>78</v>
      </c>
      <c r="FQ7" s="1" t="s">
        <v>554</v>
      </c>
      <c r="FR7" s="1" t="s">
        <v>671</v>
      </c>
      <c r="FS7" s="1" t="s">
        <v>671</v>
      </c>
      <c r="FT7" s="1" t="s">
        <v>671</v>
      </c>
      <c r="FU7" s="82" t="s">
        <v>680</v>
      </c>
    </row>
    <row r="8" customFormat="false" ht="15" hidden="false" customHeight="false" outlineLevel="0" collapsed="false">
      <c r="A8" s="1" t="n">
        <v>7</v>
      </c>
      <c r="B8" s="83" t="n">
        <v>46209.5576851852</v>
      </c>
      <c r="C8" s="83" t="n">
        <v>46209.5849652778</v>
      </c>
      <c r="D8" s="1" t="s">
        <v>681</v>
      </c>
      <c r="E8" s="1" t="s">
        <v>136</v>
      </c>
      <c r="F8" s="1" t="s">
        <v>553</v>
      </c>
      <c r="G8" s="1" t="s">
        <v>263</v>
      </c>
      <c r="EL8" s="1" t="n">
        <v>4</v>
      </c>
      <c r="EM8" s="1" t="n">
        <v>4</v>
      </c>
      <c r="EN8" s="1" t="n">
        <v>4</v>
      </c>
      <c r="EU8" s="1" t="n">
        <v>4</v>
      </c>
      <c r="EV8" s="1" t="n">
        <v>4</v>
      </c>
      <c r="EW8" s="1" t="n">
        <v>4</v>
      </c>
      <c r="FM8" s="1" t="n">
        <v>4</v>
      </c>
      <c r="FN8" s="1" t="n">
        <v>4</v>
      </c>
      <c r="FO8" s="1" t="n">
        <v>4</v>
      </c>
      <c r="FP8" s="1" t="s">
        <v>554</v>
      </c>
      <c r="FQ8" s="1" t="s">
        <v>554</v>
      </c>
      <c r="FR8" s="1" t="s">
        <v>667</v>
      </c>
      <c r="FS8" s="1" t="s">
        <v>671</v>
      </c>
      <c r="FT8" s="1" t="s">
        <v>669</v>
      </c>
      <c r="FU8" s="1" t="s">
        <v>107</v>
      </c>
    </row>
    <row r="9" customFormat="false" ht="15" hidden="false" customHeight="false" outlineLevel="0" collapsed="false">
      <c r="A9" s="1" t="n">
        <v>8</v>
      </c>
      <c r="B9" s="83" t="n">
        <v>46209.5850925926</v>
      </c>
      <c r="C9" s="83" t="n">
        <v>46209.5856481482</v>
      </c>
      <c r="D9" s="1" t="s">
        <v>681</v>
      </c>
      <c r="E9" s="1" t="s">
        <v>136</v>
      </c>
      <c r="F9" s="1" t="s">
        <v>553</v>
      </c>
      <c r="G9" s="1" t="s">
        <v>260</v>
      </c>
      <c r="EO9" s="1" t="n">
        <v>4</v>
      </c>
      <c r="EP9" s="1" t="n">
        <v>4</v>
      </c>
      <c r="EQ9" s="1" t="n">
        <v>4</v>
      </c>
      <c r="EU9" s="1" t="n">
        <v>4</v>
      </c>
      <c r="EV9" s="1" t="n">
        <v>4</v>
      </c>
      <c r="EW9" s="1" t="n">
        <v>4</v>
      </c>
      <c r="FM9" s="1" t="n">
        <v>4</v>
      </c>
      <c r="FN9" s="1" t="n">
        <v>4</v>
      </c>
      <c r="FO9" s="1" t="n">
        <v>4</v>
      </c>
      <c r="FP9" s="1" t="s">
        <v>554</v>
      </c>
      <c r="FQ9" s="1" t="s">
        <v>554</v>
      </c>
      <c r="FR9" s="1" t="s">
        <v>667</v>
      </c>
      <c r="FS9" s="1" t="s">
        <v>671</v>
      </c>
      <c r="FT9" s="1" t="s">
        <v>669</v>
      </c>
      <c r="FU9" s="1" t="s">
        <v>107</v>
      </c>
    </row>
    <row r="10" customFormat="false" ht="15" hidden="false" customHeight="false" outlineLevel="0" collapsed="false">
      <c r="A10" s="1" t="n">
        <v>9</v>
      </c>
      <c r="B10" s="83" t="n">
        <v>46209.5857291667</v>
      </c>
      <c r="C10" s="83" t="n">
        <v>46209.5862384259</v>
      </c>
      <c r="D10" s="1" t="s">
        <v>681</v>
      </c>
      <c r="E10" s="1" t="s">
        <v>136</v>
      </c>
      <c r="F10" s="1" t="s">
        <v>553</v>
      </c>
      <c r="G10" s="1" t="s">
        <v>244</v>
      </c>
      <c r="ER10" s="1" t="n">
        <v>3</v>
      </c>
      <c r="ES10" s="1" t="n">
        <v>3</v>
      </c>
      <c r="ET10" s="1" t="n">
        <v>3</v>
      </c>
      <c r="EU10" s="1" t="n">
        <v>3</v>
      </c>
      <c r="EV10" s="1" t="n">
        <v>3</v>
      </c>
      <c r="EW10" s="1" t="n">
        <v>3</v>
      </c>
      <c r="FM10" s="1" t="n">
        <v>3</v>
      </c>
      <c r="FN10" s="1" t="n">
        <v>3</v>
      </c>
      <c r="FO10" s="1" t="n">
        <v>3</v>
      </c>
      <c r="FP10" s="1" t="s">
        <v>554</v>
      </c>
      <c r="FQ10" s="1" t="s">
        <v>554</v>
      </c>
      <c r="FR10" s="1" t="s">
        <v>667</v>
      </c>
      <c r="FS10" s="1" t="s">
        <v>671</v>
      </c>
      <c r="FT10" s="1" t="s">
        <v>669</v>
      </c>
      <c r="FU10" s="1" t="s">
        <v>107</v>
      </c>
    </row>
    <row r="11" customFormat="false" ht="15" hidden="false" customHeight="false" outlineLevel="0" collapsed="false">
      <c r="A11" s="1" t="n">
        <v>10</v>
      </c>
      <c r="B11" s="83" t="n">
        <v>46209.5835300926</v>
      </c>
      <c r="C11" s="83" t="n">
        <v>46209.5875347222</v>
      </c>
      <c r="D11" s="1" t="s">
        <v>187</v>
      </c>
      <c r="E11" s="1" t="s">
        <v>141</v>
      </c>
      <c r="F11" s="1" t="s">
        <v>682</v>
      </c>
      <c r="G11" s="1" t="s">
        <v>266</v>
      </c>
      <c r="DX11" s="1" t="n">
        <v>3</v>
      </c>
      <c r="DY11" s="1" t="n">
        <v>4</v>
      </c>
      <c r="DZ11" s="1" t="n">
        <v>3</v>
      </c>
      <c r="EA11" s="1" t="n">
        <v>3</v>
      </c>
      <c r="EB11" s="1" t="n">
        <v>3</v>
      </c>
      <c r="EC11" s="1" t="n">
        <v>3</v>
      </c>
      <c r="ED11" s="1" t="n">
        <v>3</v>
      </c>
      <c r="EE11" s="1" t="n">
        <v>3</v>
      </c>
      <c r="EU11" s="1" t="n">
        <v>3</v>
      </c>
      <c r="EV11" s="1" t="n">
        <v>3</v>
      </c>
      <c r="EW11" s="1" t="n">
        <v>3</v>
      </c>
      <c r="FM11" s="1" t="n">
        <v>3</v>
      </c>
      <c r="FN11" s="1" t="n">
        <v>3</v>
      </c>
      <c r="FO11" s="1" t="n">
        <v>3</v>
      </c>
      <c r="FP11" s="1" t="s">
        <v>554</v>
      </c>
      <c r="FQ11" s="1" t="s">
        <v>554</v>
      </c>
      <c r="FR11" s="1" t="s">
        <v>667</v>
      </c>
      <c r="FS11" s="1" t="s">
        <v>671</v>
      </c>
      <c r="FT11" s="1" t="s">
        <v>669</v>
      </c>
      <c r="FU11" s="1" t="s">
        <v>683</v>
      </c>
    </row>
    <row r="12" customFormat="false" ht="15" hidden="false" customHeight="false" outlineLevel="0" collapsed="false">
      <c r="A12" s="1" t="n">
        <v>11</v>
      </c>
      <c r="B12" s="83" t="n">
        <v>46209.5877083333</v>
      </c>
      <c r="C12" s="83" t="n">
        <v>46209.5905902778</v>
      </c>
      <c r="D12" s="1" t="s">
        <v>187</v>
      </c>
      <c r="E12" s="1" t="s">
        <v>141</v>
      </c>
      <c r="F12" s="1" t="s">
        <v>682</v>
      </c>
      <c r="G12" s="1" t="s">
        <v>280</v>
      </c>
      <c r="AY12" s="1" t="n">
        <v>3</v>
      </c>
      <c r="AZ12" s="1" t="n">
        <v>3</v>
      </c>
      <c r="BA12" s="1" t="n">
        <v>3</v>
      </c>
      <c r="BB12" s="1" t="n">
        <v>3</v>
      </c>
      <c r="BC12" s="1" t="n">
        <v>3</v>
      </c>
      <c r="BD12" s="1" t="n">
        <v>3</v>
      </c>
      <c r="BE12" s="1" t="n">
        <v>3</v>
      </c>
      <c r="BF12" s="1" t="n">
        <v>3</v>
      </c>
      <c r="BG12" s="1" t="n">
        <v>3</v>
      </c>
      <c r="BH12" s="1" t="n">
        <v>3</v>
      </c>
      <c r="BI12" s="1" t="n">
        <v>3</v>
      </c>
      <c r="FB12" s="1" t="n">
        <v>3</v>
      </c>
      <c r="FC12" s="1" t="n">
        <v>3</v>
      </c>
      <c r="FD12" s="1" t="n">
        <v>3</v>
      </c>
      <c r="FE12" s="1" t="n">
        <v>3</v>
      </c>
      <c r="FM12" s="1" t="n">
        <v>3</v>
      </c>
      <c r="FN12" s="1" t="n">
        <v>3</v>
      </c>
      <c r="FO12" s="1" t="n">
        <v>3</v>
      </c>
      <c r="FP12" s="1" t="s">
        <v>554</v>
      </c>
      <c r="FQ12" s="1" t="s">
        <v>554</v>
      </c>
      <c r="FR12" s="1" t="s">
        <v>667</v>
      </c>
      <c r="FS12" s="1" t="s">
        <v>675</v>
      </c>
      <c r="FT12" s="1" t="s">
        <v>669</v>
      </c>
      <c r="FU12" s="1" t="s">
        <v>684</v>
      </c>
    </row>
    <row r="13" customFormat="false" ht="15" hidden="false" customHeight="false" outlineLevel="0" collapsed="false">
      <c r="A13" s="1" t="n">
        <v>12</v>
      </c>
      <c r="B13" s="83" t="n">
        <v>46209.6030208333</v>
      </c>
      <c r="C13" s="83" t="n">
        <v>46209.6091435185</v>
      </c>
      <c r="D13" s="1" t="s">
        <v>685</v>
      </c>
      <c r="E13" s="1" t="s">
        <v>155</v>
      </c>
      <c r="F13" s="1" t="s">
        <v>574</v>
      </c>
      <c r="G13" s="1" t="s">
        <v>289</v>
      </c>
      <c r="BJ13" s="1" t="n">
        <v>4</v>
      </c>
      <c r="BK13" s="1" t="n">
        <v>4</v>
      </c>
      <c r="BL13" s="1" t="n">
        <v>4</v>
      </c>
      <c r="BM13" s="1" t="n">
        <v>4</v>
      </c>
      <c r="BN13" s="1" t="n">
        <v>4</v>
      </c>
      <c r="BO13" s="1" t="n">
        <v>4</v>
      </c>
      <c r="BP13" s="1" t="n">
        <v>4</v>
      </c>
      <c r="BQ13" s="1" t="n">
        <v>4</v>
      </c>
      <c r="BR13" s="1" t="n">
        <v>4</v>
      </c>
      <c r="BS13" s="1" t="n">
        <v>4</v>
      </c>
      <c r="BT13" s="1" t="n">
        <v>4</v>
      </c>
      <c r="BU13" s="1" t="n">
        <v>4</v>
      </c>
      <c r="BV13" s="1" t="n">
        <v>4</v>
      </c>
      <c r="BW13" s="1" t="n">
        <v>4</v>
      </c>
      <c r="FF13" s="1" t="n">
        <v>4</v>
      </c>
      <c r="FG13" s="1" t="n">
        <v>4</v>
      </c>
      <c r="FH13" s="1" t="n">
        <v>4</v>
      </c>
      <c r="FI13" s="1" t="n">
        <v>4</v>
      </c>
      <c r="FM13" s="1" t="n">
        <v>5</v>
      </c>
      <c r="FN13" s="1" t="n">
        <v>5</v>
      </c>
      <c r="FO13" s="1" t="n">
        <v>5</v>
      </c>
      <c r="FP13" s="1" t="s">
        <v>554</v>
      </c>
      <c r="FQ13" s="1" t="s">
        <v>554</v>
      </c>
      <c r="FR13" s="1" t="s">
        <v>667</v>
      </c>
      <c r="FS13" s="1" t="s">
        <v>671</v>
      </c>
      <c r="FT13" s="1" t="s">
        <v>669</v>
      </c>
      <c r="FU13" s="1" t="s">
        <v>686</v>
      </c>
    </row>
    <row r="14" customFormat="false" ht="15" hidden="false" customHeight="false" outlineLevel="0" collapsed="false">
      <c r="A14" s="1" t="n">
        <v>13</v>
      </c>
      <c r="B14" s="83" t="n">
        <v>46211.5992013889</v>
      </c>
      <c r="C14" s="83" t="n">
        <v>46211.621724537</v>
      </c>
      <c r="D14" s="1" t="s">
        <v>687</v>
      </c>
      <c r="E14" s="1" t="s">
        <v>163</v>
      </c>
      <c r="F14" s="1" t="s">
        <v>581</v>
      </c>
      <c r="G14" s="1" t="s">
        <v>303</v>
      </c>
      <c r="AL14" s="1" t="n">
        <v>4</v>
      </c>
      <c r="AM14" s="1" t="n">
        <v>5</v>
      </c>
      <c r="AN14" s="1" t="n">
        <v>5</v>
      </c>
      <c r="AO14" s="1" t="n">
        <v>5</v>
      </c>
      <c r="AP14" s="1" t="n">
        <v>5</v>
      </c>
      <c r="AQ14" s="1" t="n">
        <v>4</v>
      </c>
      <c r="AR14" s="1" t="n">
        <v>5</v>
      </c>
      <c r="AS14" s="1" t="n">
        <v>4</v>
      </c>
      <c r="AT14" s="1" t="n">
        <v>5</v>
      </c>
      <c r="AU14" s="1" t="n">
        <v>4</v>
      </c>
      <c r="AV14" s="1" t="n">
        <v>5</v>
      </c>
      <c r="AW14" s="1" t="n">
        <v>4</v>
      </c>
      <c r="AX14" s="1" t="n">
        <v>5</v>
      </c>
      <c r="EU14" s="1" t="n">
        <v>4</v>
      </c>
      <c r="EV14" s="1" t="n">
        <v>5</v>
      </c>
      <c r="EW14" s="1" t="n">
        <v>5</v>
      </c>
      <c r="FM14" s="1" t="n">
        <v>5</v>
      </c>
      <c r="FN14" s="1" t="n">
        <v>5</v>
      </c>
      <c r="FO14" s="1" t="n">
        <v>5</v>
      </c>
      <c r="FP14" s="1" t="s">
        <v>554</v>
      </c>
      <c r="FQ14" s="1" t="s">
        <v>554</v>
      </c>
      <c r="FR14" s="1" t="s">
        <v>667</v>
      </c>
      <c r="FS14" s="1" t="s">
        <v>671</v>
      </c>
      <c r="FT14" s="1" t="s">
        <v>669</v>
      </c>
      <c r="FU14" s="1" t="s">
        <v>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FV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662</v>
      </c>
      <c r="B1" s="1" t="s">
        <v>663</v>
      </c>
      <c r="C1" s="1" t="s">
        <v>664</v>
      </c>
      <c r="D1" s="1" t="s">
        <v>354</v>
      </c>
      <c r="E1" s="1" t="s">
        <v>665</v>
      </c>
      <c r="F1" s="1" t="s">
        <v>666</v>
      </c>
      <c r="G1" s="1" t="s">
        <v>357</v>
      </c>
      <c r="H1" s="82" t="s">
        <v>689</v>
      </c>
      <c r="I1" s="1" t="s">
        <v>380</v>
      </c>
      <c r="J1" s="1" t="s">
        <v>585</v>
      </c>
      <c r="K1" s="1" t="s">
        <v>586</v>
      </c>
      <c r="L1" s="1" t="s">
        <v>383</v>
      </c>
      <c r="M1" s="1" t="s">
        <v>384</v>
      </c>
      <c r="N1" s="1" t="s">
        <v>371</v>
      </c>
      <c r="O1" s="1" t="s">
        <v>372</v>
      </c>
      <c r="P1" s="1" t="s">
        <v>587</v>
      </c>
      <c r="Q1" s="1" t="s">
        <v>588</v>
      </c>
      <c r="R1" s="1" t="s">
        <v>381</v>
      </c>
      <c r="S1" s="1" t="s">
        <v>382</v>
      </c>
      <c r="T1" s="1" t="s">
        <v>498</v>
      </c>
      <c r="U1" s="1" t="s">
        <v>386</v>
      </c>
      <c r="V1" s="82" t="s">
        <v>690</v>
      </c>
      <c r="W1" s="1" t="s">
        <v>590</v>
      </c>
      <c r="X1" s="82" t="s">
        <v>691</v>
      </c>
      <c r="Y1" s="1" t="s">
        <v>592</v>
      </c>
      <c r="Z1" s="82" t="s">
        <v>692</v>
      </c>
      <c r="AA1" s="1" t="s">
        <v>594</v>
      </c>
      <c r="AB1" s="82" t="s">
        <v>693</v>
      </c>
      <c r="AC1" s="1" t="s">
        <v>596</v>
      </c>
      <c r="AD1" s="1" t="s">
        <v>419</v>
      </c>
      <c r="AE1" s="1" t="s">
        <v>397</v>
      </c>
      <c r="AF1" s="1" t="s">
        <v>597</v>
      </c>
      <c r="AG1" s="1" t="s">
        <v>401</v>
      </c>
      <c r="AH1" s="1" t="s">
        <v>598</v>
      </c>
      <c r="AI1" s="82" t="s">
        <v>694</v>
      </c>
      <c r="AJ1" s="1" t="s">
        <v>600</v>
      </c>
      <c r="AK1" s="1" t="s">
        <v>395</v>
      </c>
      <c r="AL1" s="1" t="s">
        <v>396</v>
      </c>
      <c r="AM1" s="1" t="s">
        <v>408</v>
      </c>
      <c r="AN1" s="1" t="s">
        <v>601</v>
      </c>
      <c r="AO1" s="1" t="s">
        <v>412</v>
      </c>
      <c r="AP1" s="82" t="s">
        <v>695</v>
      </c>
      <c r="AQ1" s="1" t="s">
        <v>603</v>
      </c>
      <c r="AR1" s="1" t="s">
        <v>604</v>
      </c>
      <c r="AS1" s="82" t="s">
        <v>696</v>
      </c>
      <c r="AT1" s="82" t="s">
        <v>697</v>
      </c>
      <c r="AU1" s="1" t="s">
        <v>413</v>
      </c>
      <c r="AV1" s="1" t="s">
        <v>418</v>
      </c>
      <c r="AW1" s="1" t="s">
        <v>607</v>
      </c>
      <c r="AX1" s="1" t="s">
        <v>426</v>
      </c>
      <c r="AY1" s="1" t="s">
        <v>608</v>
      </c>
      <c r="AZ1" s="1" t="s">
        <v>609</v>
      </c>
      <c r="BA1" s="1" t="s">
        <v>610</v>
      </c>
      <c r="BB1" s="82" t="s">
        <v>698</v>
      </c>
      <c r="BC1" s="1" t="s">
        <v>612</v>
      </c>
      <c r="BD1" s="82" t="s">
        <v>699</v>
      </c>
      <c r="BE1" s="82" t="s">
        <v>700</v>
      </c>
      <c r="BF1" s="1" t="s">
        <v>615</v>
      </c>
      <c r="BG1" s="1" t="s">
        <v>616</v>
      </c>
      <c r="BH1" s="82" t="s">
        <v>701</v>
      </c>
      <c r="BI1" s="82" t="s">
        <v>702</v>
      </c>
      <c r="BJ1" s="82" t="s">
        <v>703</v>
      </c>
      <c r="BK1" s="82" t="s">
        <v>704</v>
      </c>
      <c r="BL1" s="82" t="s">
        <v>705</v>
      </c>
      <c r="BM1" s="82" t="s">
        <v>706</v>
      </c>
      <c r="BN1" s="82" t="s">
        <v>707</v>
      </c>
      <c r="BO1" s="82" t="s">
        <v>708</v>
      </c>
      <c r="BP1" s="82" t="s">
        <v>709</v>
      </c>
      <c r="BQ1" s="82" t="s">
        <v>710</v>
      </c>
      <c r="BR1" s="82" t="s">
        <v>711</v>
      </c>
      <c r="BS1" s="82" t="s">
        <v>712</v>
      </c>
      <c r="BT1" s="82" t="s">
        <v>713</v>
      </c>
      <c r="BU1" s="82" t="s">
        <v>714</v>
      </c>
      <c r="BV1" s="1" t="s">
        <v>715</v>
      </c>
      <c r="BW1" s="1" t="s">
        <v>716</v>
      </c>
      <c r="BX1" s="82" t="s">
        <v>717</v>
      </c>
      <c r="BY1" s="82" t="s">
        <v>718</v>
      </c>
      <c r="BZ1" s="82" t="s">
        <v>719</v>
      </c>
      <c r="CA1" s="1" t="s">
        <v>720</v>
      </c>
      <c r="CB1" s="1" t="s">
        <v>721</v>
      </c>
      <c r="CC1" s="1" t="s">
        <v>722</v>
      </c>
      <c r="CD1" s="1" t="s">
        <v>723</v>
      </c>
      <c r="CE1" s="82" t="s">
        <v>724</v>
      </c>
      <c r="CF1" s="1" t="s">
        <v>725</v>
      </c>
      <c r="CG1" s="1" t="s">
        <v>726</v>
      </c>
      <c r="CH1" s="82" t="s">
        <v>727</v>
      </c>
      <c r="CI1" s="82" t="s">
        <v>728</v>
      </c>
      <c r="CJ1" s="82" t="s">
        <v>729</v>
      </c>
      <c r="CK1" s="82" t="s">
        <v>730</v>
      </c>
      <c r="CL1" s="82" t="s">
        <v>731</v>
      </c>
      <c r="CM1" s="82" t="s">
        <v>732</v>
      </c>
      <c r="CN1" s="82" t="s">
        <v>733</v>
      </c>
      <c r="CO1" s="82" t="s">
        <v>734</v>
      </c>
      <c r="CP1" s="1" t="s">
        <v>735</v>
      </c>
      <c r="CQ1" s="1" t="s">
        <v>736</v>
      </c>
      <c r="CR1" s="82" t="s">
        <v>737</v>
      </c>
      <c r="CS1" s="82" t="s">
        <v>738</v>
      </c>
      <c r="CT1" s="82" t="s">
        <v>739</v>
      </c>
      <c r="CU1" s="82" t="s">
        <v>740</v>
      </c>
      <c r="CV1" s="82" t="s">
        <v>741</v>
      </c>
      <c r="CW1" s="82" t="s">
        <v>742</v>
      </c>
      <c r="CX1" s="82" t="s">
        <v>743</v>
      </c>
      <c r="CY1" s="82" t="s">
        <v>744</v>
      </c>
      <c r="CZ1" s="1" t="s">
        <v>745</v>
      </c>
      <c r="DA1" s="1" t="s">
        <v>746</v>
      </c>
      <c r="DB1" s="82" t="s">
        <v>747</v>
      </c>
      <c r="DC1" s="82" t="s">
        <v>748</v>
      </c>
      <c r="DD1" s="82" t="s">
        <v>749</v>
      </c>
      <c r="DE1" s="82" t="s">
        <v>750</v>
      </c>
      <c r="DF1" s="82" t="s">
        <v>751</v>
      </c>
      <c r="DG1" s="82" t="s">
        <v>752</v>
      </c>
      <c r="DH1" s="1" t="s">
        <v>753</v>
      </c>
      <c r="DI1" s="1" t="s">
        <v>754</v>
      </c>
      <c r="DJ1" s="82" t="s">
        <v>755</v>
      </c>
      <c r="DK1" s="82" t="s">
        <v>756</v>
      </c>
      <c r="DL1" s="82" t="s">
        <v>757</v>
      </c>
      <c r="DM1" s="82" t="s">
        <v>758</v>
      </c>
      <c r="DN1" s="82" t="s">
        <v>759</v>
      </c>
      <c r="DO1" s="1" t="s">
        <v>521</v>
      </c>
      <c r="DP1" s="1" t="s">
        <v>522</v>
      </c>
      <c r="DQ1" s="1" t="s">
        <v>523</v>
      </c>
      <c r="DR1" s="1" t="s">
        <v>760</v>
      </c>
      <c r="DS1" s="1" t="s">
        <v>761</v>
      </c>
      <c r="DT1" s="1" t="s">
        <v>762</v>
      </c>
      <c r="DU1" s="1" t="s">
        <v>763</v>
      </c>
      <c r="DV1" s="1" t="s">
        <v>764</v>
      </c>
      <c r="DW1" s="1" t="s">
        <v>765</v>
      </c>
      <c r="DX1" s="1" t="s">
        <v>766</v>
      </c>
      <c r="DY1" s="1" t="s">
        <v>767</v>
      </c>
      <c r="DZ1" s="82" t="s">
        <v>768</v>
      </c>
      <c r="EA1" s="82" t="s">
        <v>769</v>
      </c>
      <c r="EB1" s="82" t="s">
        <v>770</v>
      </c>
      <c r="EC1" s="82" t="s">
        <v>771</v>
      </c>
      <c r="ED1" s="82" t="s">
        <v>772</v>
      </c>
      <c r="EE1" s="82" t="s">
        <v>773</v>
      </c>
      <c r="EF1" s="82" t="s">
        <v>774</v>
      </c>
      <c r="EG1" s="82" t="s">
        <v>775</v>
      </c>
      <c r="EH1" s="82" t="s">
        <v>776</v>
      </c>
      <c r="EI1" s="82" t="s">
        <v>777</v>
      </c>
      <c r="EJ1" s="82" t="s">
        <v>778</v>
      </c>
      <c r="EK1" s="82" t="s">
        <v>779</v>
      </c>
      <c r="EL1" s="82" t="s">
        <v>780</v>
      </c>
      <c r="EM1" s="82" t="s">
        <v>781</v>
      </c>
      <c r="EN1" s="82" t="s">
        <v>782</v>
      </c>
      <c r="EO1" s="82" t="s">
        <v>783</v>
      </c>
      <c r="EP1" s="82" t="s">
        <v>784</v>
      </c>
      <c r="EQ1" s="82" t="s">
        <v>785</v>
      </c>
      <c r="ER1" s="82" t="s">
        <v>786</v>
      </c>
      <c r="ES1" s="82" t="s">
        <v>787</v>
      </c>
      <c r="ET1" s="82" t="s">
        <v>788</v>
      </c>
      <c r="EU1" s="82" t="s">
        <v>789</v>
      </c>
      <c r="EV1" s="82" t="s">
        <v>790</v>
      </c>
      <c r="EW1" s="82" t="s">
        <v>791</v>
      </c>
      <c r="EX1" s="82" t="s">
        <v>792</v>
      </c>
      <c r="EY1" s="82" t="s">
        <v>793</v>
      </c>
      <c r="EZ1" s="82" t="s">
        <v>794</v>
      </c>
      <c r="FA1" s="82" t="s">
        <v>795</v>
      </c>
      <c r="FB1" s="82" t="s">
        <v>796</v>
      </c>
      <c r="FC1" s="82" t="s">
        <v>797</v>
      </c>
      <c r="FD1" s="82" t="s">
        <v>798</v>
      </c>
      <c r="FE1" s="82" t="s">
        <v>799</v>
      </c>
      <c r="FF1" s="82" t="s">
        <v>800</v>
      </c>
      <c r="FG1" s="82" t="s">
        <v>801</v>
      </c>
      <c r="FH1" s="82" t="s">
        <v>802</v>
      </c>
      <c r="FI1" s="82" t="s">
        <v>803</v>
      </c>
      <c r="FJ1" s="82" t="s">
        <v>804</v>
      </c>
      <c r="FK1" s="82" t="s">
        <v>805</v>
      </c>
      <c r="FL1" s="82" t="s">
        <v>806</v>
      </c>
      <c r="FM1" s="1" t="s">
        <v>541</v>
      </c>
      <c r="FN1" s="1" t="s">
        <v>542</v>
      </c>
      <c r="FO1" s="82" t="s">
        <v>543</v>
      </c>
      <c r="FP1" s="1" t="s">
        <v>544</v>
      </c>
      <c r="FQ1" s="1" t="s">
        <v>644</v>
      </c>
      <c r="FR1" s="1" t="s">
        <v>546</v>
      </c>
      <c r="FS1" s="1" t="s">
        <v>547</v>
      </c>
      <c r="FT1" s="1" t="s">
        <v>548</v>
      </c>
      <c r="FU1" s="1" t="s">
        <v>807</v>
      </c>
      <c r="FV1" s="1" t="s">
        <v>552</v>
      </c>
    </row>
    <row r="2" customFormat="false" ht="15" hidden="false" customHeight="false" outlineLevel="0" collapsed="false">
      <c r="A2" s="1" t="n">
        <v>1</v>
      </c>
      <c r="B2" s="83" t="n">
        <v>46199.5467708333</v>
      </c>
      <c r="C2" s="83" t="n">
        <v>46199.549375</v>
      </c>
      <c r="D2" s="1" t="s">
        <v>336</v>
      </c>
      <c r="E2" s="1" t="s">
        <v>176</v>
      </c>
      <c r="F2" s="1" t="s">
        <v>657</v>
      </c>
      <c r="G2" s="1" t="s">
        <v>335</v>
      </c>
      <c r="BP2" s="1" t="n">
        <v>3</v>
      </c>
      <c r="BQ2" s="1" t="n">
        <v>3</v>
      </c>
      <c r="BR2" s="1" t="n">
        <v>3</v>
      </c>
      <c r="BS2" s="1" t="n">
        <v>3</v>
      </c>
      <c r="BT2" s="1" t="n">
        <v>3</v>
      </c>
      <c r="BU2" s="1" t="n">
        <v>3</v>
      </c>
      <c r="DZ2" s="1" t="n">
        <v>3</v>
      </c>
      <c r="EA2" s="1" t="n">
        <v>3</v>
      </c>
      <c r="EB2" s="1" t="n">
        <v>3</v>
      </c>
      <c r="FM2" s="1" t="n">
        <v>3</v>
      </c>
      <c r="FN2" s="1" t="n">
        <v>3</v>
      </c>
      <c r="FO2" s="1" t="n">
        <v>3</v>
      </c>
      <c r="FP2" s="1" t="s">
        <v>554</v>
      </c>
      <c r="FQ2" s="1" t="s">
        <v>554</v>
      </c>
      <c r="FR2" s="1" t="s">
        <v>667</v>
      </c>
      <c r="FS2" s="1" t="s">
        <v>675</v>
      </c>
      <c r="FT2" s="1" t="s">
        <v>669</v>
      </c>
      <c r="FU2" s="1" t="s">
        <v>558</v>
      </c>
      <c r="FV2" s="1" t="s">
        <v>107</v>
      </c>
    </row>
    <row r="3" customFormat="false" ht="15" hidden="false" customHeight="false" outlineLevel="0" collapsed="false">
      <c r="A3" s="1" t="n">
        <v>2</v>
      </c>
      <c r="B3" s="83" t="n">
        <v>46203.3920601852</v>
      </c>
      <c r="C3" s="83" t="n">
        <v>46203.4503009259</v>
      </c>
      <c r="D3" s="1" t="s">
        <v>808</v>
      </c>
      <c r="E3" s="1" t="s">
        <v>182</v>
      </c>
      <c r="F3" s="1" t="s">
        <v>809</v>
      </c>
      <c r="G3" s="1" t="s">
        <v>810</v>
      </c>
      <c r="CF3" s="1" t="n">
        <v>4</v>
      </c>
      <c r="CG3" s="1" t="n">
        <v>3</v>
      </c>
      <c r="CH3" s="1" t="n">
        <v>2</v>
      </c>
      <c r="CI3" s="1" t="n">
        <v>3</v>
      </c>
      <c r="CJ3" s="1" t="n">
        <v>3</v>
      </c>
      <c r="CK3" s="1" t="n">
        <v>3</v>
      </c>
      <c r="CL3" s="1" t="n">
        <v>4</v>
      </c>
      <c r="CM3" s="1" t="n">
        <v>4</v>
      </c>
      <c r="CN3" s="1" t="n">
        <v>4</v>
      </c>
      <c r="CO3" s="1" t="n">
        <v>3</v>
      </c>
      <c r="EC3" s="1" t="n">
        <v>4</v>
      </c>
      <c r="ED3" s="1" t="n">
        <v>4</v>
      </c>
      <c r="EE3" s="1" t="n">
        <v>3</v>
      </c>
      <c r="EF3" s="1" t="n">
        <v>2</v>
      </c>
      <c r="EG3" s="1" t="n">
        <v>4</v>
      </c>
      <c r="EH3" s="1" t="n">
        <v>2</v>
      </c>
      <c r="EI3" s="1" t="n">
        <v>3</v>
      </c>
      <c r="EJ3" s="1" t="n">
        <v>4</v>
      </c>
      <c r="EK3" s="1" t="n">
        <v>3</v>
      </c>
      <c r="EL3" s="1" t="n">
        <v>3</v>
      </c>
      <c r="FM3" s="1" t="n">
        <v>4</v>
      </c>
      <c r="FN3" s="1" t="n">
        <v>4</v>
      </c>
      <c r="FO3" s="1" t="n">
        <v>4</v>
      </c>
      <c r="FP3" s="1" t="s">
        <v>554</v>
      </c>
      <c r="FQ3" s="1" t="s">
        <v>554</v>
      </c>
      <c r="FR3" s="1" t="s">
        <v>667</v>
      </c>
      <c r="FS3" s="1" t="s">
        <v>811</v>
      </c>
      <c r="FT3" s="1" t="s">
        <v>669</v>
      </c>
      <c r="FU3" s="1" t="s">
        <v>569</v>
      </c>
      <c r="FV3" s="82" t="s">
        <v>812</v>
      </c>
    </row>
    <row r="4" customFormat="false" ht="15" hidden="false" customHeight="false" outlineLevel="0" collapsed="false">
      <c r="A4" s="1" t="n">
        <v>3</v>
      </c>
      <c r="B4" s="83" t="n">
        <v>46203.5668634259</v>
      </c>
      <c r="C4" s="83" t="n">
        <v>46203.5890277778</v>
      </c>
      <c r="D4" s="1" t="s">
        <v>808</v>
      </c>
      <c r="E4" s="1" t="s">
        <v>182</v>
      </c>
      <c r="F4" s="1" t="s">
        <v>809</v>
      </c>
      <c r="G4" s="1" t="s">
        <v>813</v>
      </c>
      <c r="CZ4" s="1" t="n">
        <v>4</v>
      </c>
      <c r="DA4" s="1" t="n">
        <v>4</v>
      </c>
      <c r="DB4" s="1" t="n">
        <v>4</v>
      </c>
      <c r="DC4" s="1" t="n">
        <v>4</v>
      </c>
      <c r="DD4" s="1" t="n">
        <v>4</v>
      </c>
      <c r="DE4" s="1" t="n">
        <v>4</v>
      </c>
      <c r="DF4" s="1" t="n">
        <v>2</v>
      </c>
      <c r="DG4" s="1" t="n">
        <v>4</v>
      </c>
      <c r="EW4" s="1" t="n">
        <v>4</v>
      </c>
      <c r="EX4" s="1" t="n">
        <v>4</v>
      </c>
      <c r="EY4" s="1" t="n">
        <v>4</v>
      </c>
      <c r="EZ4" s="1" t="n">
        <v>4</v>
      </c>
      <c r="FA4" s="1" t="n">
        <v>4</v>
      </c>
      <c r="FB4" s="1" t="n">
        <v>4</v>
      </c>
      <c r="FC4" s="1" t="n">
        <v>4</v>
      </c>
      <c r="FD4" s="1" t="n">
        <v>4</v>
      </c>
      <c r="FM4" s="1" t="n">
        <v>4</v>
      </c>
      <c r="FN4" s="1" t="n">
        <v>4</v>
      </c>
      <c r="FO4" s="1" t="n">
        <v>4</v>
      </c>
      <c r="FP4" s="1" t="s">
        <v>554</v>
      </c>
      <c r="FQ4" s="1" t="s">
        <v>554</v>
      </c>
      <c r="FR4" s="1" t="s">
        <v>667</v>
      </c>
      <c r="FS4" s="1" t="s">
        <v>671</v>
      </c>
      <c r="FT4" s="1" t="s">
        <v>669</v>
      </c>
      <c r="FU4" s="1" t="s">
        <v>569</v>
      </c>
      <c r="FV4" s="82" t="s">
        <v>814</v>
      </c>
    </row>
    <row r="5" customFormat="false" ht="15" hidden="false" customHeight="false" outlineLevel="0" collapsed="false">
      <c r="A5" s="1" t="n">
        <v>4</v>
      </c>
      <c r="B5" s="83" t="n">
        <v>46203.8428819445</v>
      </c>
      <c r="C5" s="83" t="n">
        <v>46203.8498148148</v>
      </c>
      <c r="D5" s="1" t="s">
        <v>286</v>
      </c>
      <c r="E5" s="1" t="s">
        <v>152</v>
      </c>
      <c r="F5" s="1" t="s">
        <v>572</v>
      </c>
      <c r="G5" s="1" t="s">
        <v>340</v>
      </c>
      <c r="P5" s="1" t="n">
        <v>3</v>
      </c>
      <c r="Q5" s="1" t="n">
        <v>4</v>
      </c>
      <c r="R5" s="1" t="n">
        <v>4</v>
      </c>
      <c r="S5" s="1" t="n">
        <v>3</v>
      </c>
      <c r="T5" s="1" t="n">
        <v>3</v>
      </c>
      <c r="U5" s="1" t="n">
        <v>4</v>
      </c>
      <c r="V5" s="1" t="n">
        <v>3</v>
      </c>
      <c r="W5" s="1" t="n">
        <v>4</v>
      </c>
      <c r="X5" s="1" t="n">
        <v>4</v>
      </c>
      <c r="Y5" s="1" t="n">
        <v>4</v>
      </c>
      <c r="Z5" s="1" t="n">
        <v>4</v>
      </c>
      <c r="DO5" s="1" t="n">
        <v>3</v>
      </c>
      <c r="DP5" s="1" t="n">
        <v>4</v>
      </c>
      <c r="DQ5" s="1" t="n">
        <v>3</v>
      </c>
      <c r="FM5" s="1" t="n">
        <v>4</v>
      </c>
      <c r="FN5" s="1" t="n">
        <v>3</v>
      </c>
      <c r="FO5" s="1" t="n">
        <v>4</v>
      </c>
      <c r="FP5" s="1" t="s">
        <v>554</v>
      </c>
      <c r="FQ5" s="1" t="s">
        <v>554</v>
      </c>
      <c r="FR5" s="1" t="s">
        <v>667</v>
      </c>
      <c r="FS5" s="1" t="s">
        <v>811</v>
      </c>
      <c r="FT5" s="1" t="s">
        <v>669</v>
      </c>
      <c r="FU5" s="1" t="s">
        <v>569</v>
      </c>
      <c r="FV5" s="82" t="s">
        <v>815</v>
      </c>
    </row>
    <row r="6" customFormat="false" ht="15" hidden="false" customHeight="false" outlineLevel="0" collapsed="false">
      <c r="A6" s="1" t="n">
        <v>5</v>
      </c>
      <c r="B6" s="83" t="n">
        <v>46204.4234837963</v>
      </c>
      <c r="C6" s="83" t="n">
        <v>46204.4256134259</v>
      </c>
      <c r="D6" s="1" t="s">
        <v>816</v>
      </c>
      <c r="E6" s="1" t="s">
        <v>184</v>
      </c>
      <c r="F6" s="1" t="s">
        <v>817</v>
      </c>
      <c r="G6" s="1" t="s">
        <v>818</v>
      </c>
      <c r="DH6" s="1" t="n">
        <v>4</v>
      </c>
      <c r="DI6" s="1" t="n">
        <v>4</v>
      </c>
      <c r="DJ6" s="1" t="n">
        <v>5</v>
      </c>
      <c r="DK6" s="1" t="n">
        <v>5</v>
      </c>
      <c r="DL6" s="1" t="n">
        <v>4</v>
      </c>
      <c r="DM6" s="1" t="n">
        <v>4</v>
      </c>
      <c r="DN6" s="1" t="n">
        <v>4</v>
      </c>
      <c r="FE6" s="1" t="n">
        <v>5</v>
      </c>
      <c r="FF6" s="1" t="n">
        <v>5</v>
      </c>
      <c r="FG6" s="1" t="n">
        <v>5</v>
      </c>
      <c r="FH6" s="1" t="n">
        <v>5</v>
      </c>
      <c r="FI6" s="1" t="n">
        <v>5</v>
      </c>
      <c r="FJ6" s="1" t="n">
        <v>5</v>
      </c>
      <c r="FK6" s="1" t="n">
        <v>5</v>
      </c>
      <c r="FL6" s="1" t="n">
        <v>5</v>
      </c>
      <c r="FM6" s="1" t="n">
        <v>5</v>
      </c>
      <c r="FN6" s="1" t="n">
        <v>5</v>
      </c>
      <c r="FO6" s="1" t="n">
        <v>4</v>
      </c>
      <c r="FP6" s="1" t="s">
        <v>554</v>
      </c>
      <c r="FQ6" s="1" t="s">
        <v>554</v>
      </c>
      <c r="FR6" s="1" t="s">
        <v>667</v>
      </c>
      <c r="FS6" s="1" t="s">
        <v>671</v>
      </c>
      <c r="FT6" s="1" t="s">
        <v>671</v>
      </c>
      <c r="FU6" s="1" t="s">
        <v>567</v>
      </c>
      <c r="FV6" s="1" t="s">
        <v>106</v>
      </c>
    </row>
    <row r="7" customFormat="false" ht="15" hidden="false" customHeight="false" outlineLevel="0" collapsed="false">
      <c r="A7" s="1" t="n">
        <v>6</v>
      </c>
      <c r="B7" s="83" t="n">
        <v>46205.5542476852</v>
      </c>
      <c r="C7" s="83" t="n">
        <v>46205.6910763889</v>
      </c>
      <c r="D7" s="1" t="s">
        <v>819</v>
      </c>
      <c r="E7" s="1" t="s">
        <v>181</v>
      </c>
      <c r="F7" s="1" t="s">
        <v>820</v>
      </c>
      <c r="G7" s="1" t="s">
        <v>821</v>
      </c>
      <c r="H7" s="1" t="n">
        <v>4</v>
      </c>
      <c r="I7" s="1" t="n">
        <v>4</v>
      </c>
      <c r="J7" s="1" t="n">
        <v>3</v>
      </c>
      <c r="K7" s="1" t="n">
        <v>3</v>
      </c>
      <c r="L7" s="1" t="n">
        <v>3</v>
      </c>
      <c r="M7" s="1" t="n">
        <v>3</v>
      </c>
      <c r="N7" s="1" t="n">
        <v>3</v>
      </c>
      <c r="O7" s="1" t="n">
        <v>3</v>
      </c>
      <c r="DO7" s="1" t="n">
        <v>3</v>
      </c>
      <c r="DP7" s="1" t="n">
        <v>3</v>
      </c>
      <c r="DQ7" s="1" t="n">
        <v>3</v>
      </c>
      <c r="FM7" s="1" t="n">
        <v>3</v>
      </c>
      <c r="FN7" s="1" t="n">
        <v>3</v>
      </c>
      <c r="FO7" s="1" t="n">
        <v>3</v>
      </c>
      <c r="FP7" s="1" t="s">
        <v>554</v>
      </c>
      <c r="FQ7" s="1" t="s">
        <v>554</v>
      </c>
      <c r="FR7" s="1" t="s">
        <v>667</v>
      </c>
      <c r="FS7" s="1" t="s">
        <v>675</v>
      </c>
      <c r="FT7" s="1" t="s">
        <v>669</v>
      </c>
      <c r="FU7" s="1" t="s">
        <v>567</v>
      </c>
      <c r="FV7" s="1" t="s">
        <v>822</v>
      </c>
    </row>
    <row r="8" customFormat="false" ht="15" hidden="false" customHeight="false" outlineLevel="0" collapsed="false">
      <c r="A8" s="1" t="n">
        <v>7</v>
      </c>
      <c r="B8" s="83" t="n">
        <v>46205.6975694444</v>
      </c>
      <c r="C8" s="83" t="n">
        <v>46205.702349537</v>
      </c>
      <c r="D8" s="1" t="s">
        <v>324</v>
      </c>
      <c r="E8" s="1" t="s">
        <v>169</v>
      </c>
      <c r="F8" s="1" t="s">
        <v>650</v>
      </c>
      <c r="G8" s="1" t="s">
        <v>323</v>
      </c>
      <c r="BV8" s="1" t="n">
        <v>4</v>
      </c>
      <c r="BW8" s="1" t="n">
        <v>5</v>
      </c>
      <c r="BX8" s="1" t="n">
        <v>4</v>
      </c>
      <c r="BY8" s="1" t="n">
        <v>5</v>
      </c>
      <c r="BZ8" s="1" t="n">
        <v>5</v>
      </c>
      <c r="DR8" s="1" t="n">
        <v>5</v>
      </c>
      <c r="DS8" s="1" t="n">
        <v>5</v>
      </c>
      <c r="DT8" s="1" t="n">
        <v>5</v>
      </c>
      <c r="FM8" s="1" t="n">
        <v>5</v>
      </c>
      <c r="FN8" s="1" t="n">
        <v>5</v>
      </c>
      <c r="FO8" s="1" t="n">
        <v>5</v>
      </c>
      <c r="FP8" s="1" t="s">
        <v>554</v>
      </c>
      <c r="FQ8" s="1" t="s">
        <v>554</v>
      </c>
      <c r="FR8" s="1" t="s">
        <v>667</v>
      </c>
      <c r="FS8" s="1" t="s">
        <v>675</v>
      </c>
      <c r="FT8" s="1" t="s">
        <v>669</v>
      </c>
      <c r="FU8" s="1" t="s">
        <v>558</v>
      </c>
      <c r="FV8" s="1" t="s">
        <v>823</v>
      </c>
    </row>
    <row r="9" customFormat="false" ht="15" hidden="false" customHeight="false" outlineLevel="0" collapsed="false">
      <c r="A9" s="1" t="n">
        <v>8</v>
      </c>
      <c r="B9" s="83" t="n">
        <v>46211.4657060185</v>
      </c>
      <c r="C9" s="83" t="n">
        <v>46211.4762962963</v>
      </c>
      <c r="D9" s="1" t="s">
        <v>324</v>
      </c>
      <c r="E9" s="1" t="s">
        <v>169</v>
      </c>
      <c r="F9" s="1" t="s">
        <v>650</v>
      </c>
      <c r="G9" s="1" t="s">
        <v>323</v>
      </c>
      <c r="BV9" s="1" t="n">
        <v>4</v>
      </c>
      <c r="BW9" s="1" t="n">
        <v>4</v>
      </c>
      <c r="BX9" s="1" t="n">
        <v>4</v>
      </c>
      <c r="BY9" s="1" t="n">
        <v>4</v>
      </c>
      <c r="BZ9" s="1" t="n">
        <v>4</v>
      </c>
      <c r="CA9" s="1" t="n">
        <v>4</v>
      </c>
      <c r="CB9" s="1" t="n">
        <v>4</v>
      </c>
      <c r="CC9" s="1" t="n">
        <v>4</v>
      </c>
      <c r="CD9" s="1" t="n">
        <v>4</v>
      </c>
      <c r="CE9" s="1" t="n">
        <v>4</v>
      </c>
      <c r="DR9" s="1" t="n">
        <v>4</v>
      </c>
      <c r="DS9" s="1" t="n">
        <v>4</v>
      </c>
      <c r="DT9" s="1" t="n">
        <v>4</v>
      </c>
      <c r="DU9" s="1" t="n">
        <v>4</v>
      </c>
      <c r="DV9" s="1" t="n">
        <v>4</v>
      </c>
      <c r="DW9" s="1" t="n">
        <v>4</v>
      </c>
      <c r="DX9" s="1" t="n">
        <v>4</v>
      </c>
      <c r="DY9" s="1" t="n">
        <v>4</v>
      </c>
      <c r="FM9" s="1" t="n">
        <v>5</v>
      </c>
      <c r="FN9" s="1" t="n">
        <v>5</v>
      </c>
      <c r="FO9" s="1" t="n">
        <v>5</v>
      </c>
      <c r="FP9" s="1" t="s">
        <v>554</v>
      </c>
      <c r="FQ9" s="1" t="s">
        <v>554</v>
      </c>
      <c r="FR9" s="1" t="s">
        <v>667</v>
      </c>
      <c r="FS9" s="1" t="s">
        <v>675</v>
      </c>
      <c r="FT9" s="1" t="s">
        <v>669</v>
      </c>
      <c r="FU9" s="1" t="s">
        <v>558</v>
      </c>
      <c r="FV9" s="1" t="s">
        <v>824</v>
      </c>
    </row>
    <row r="10" customFormat="false" ht="15" hidden="false" customHeight="false" outlineLevel="0" collapsed="false">
      <c r="A10" s="1" t="n">
        <v>9</v>
      </c>
      <c r="B10" s="83" t="n">
        <v>46212.5549884259</v>
      </c>
      <c r="C10" s="83" t="n">
        <v>46212.8284143519</v>
      </c>
      <c r="D10" s="1" t="s">
        <v>825</v>
      </c>
      <c r="E10" s="1" t="s">
        <v>166</v>
      </c>
      <c r="F10" s="1" t="s">
        <v>826</v>
      </c>
      <c r="G10" s="1" t="s">
        <v>307</v>
      </c>
      <c r="AU10" s="1" t="n">
        <v>4</v>
      </c>
      <c r="AV10" s="1" t="n">
        <v>3</v>
      </c>
      <c r="AW10" s="1" t="n">
        <v>4</v>
      </c>
      <c r="AX10" s="1" t="n">
        <v>3</v>
      </c>
      <c r="AY10" s="1" t="n">
        <v>3</v>
      </c>
      <c r="AZ10" s="1" t="n">
        <v>3</v>
      </c>
      <c r="BA10" s="1" t="n">
        <v>3</v>
      </c>
      <c r="BB10" s="1" t="n">
        <v>3</v>
      </c>
      <c r="BC10" s="1" t="n">
        <v>3</v>
      </c>
      <c r="BD10" s="1" t="n">
        <v>3</v>
      </c>
      <c r="BE10" s="1" t="n">
        <v>3</v>
      </c>
      <c r="BF10" s="1" t="n">
        <v>3</v>
      </c>
      <c r="BG10" s="1" t="n">
        <v>3</v>
      </c>
      <c r="BH10" s="1" t="n">
        <v>3</v>
      </c>
      <c r="BI10" s="1" t="n">
        <v>3</v>
      </c>
      <c r="BJ10" s="1" t="n">
        <v>3</v>
      </c>
      <c r="BK10" s="1" t="n">
        <v>3</v>
      </c>
      <c r="BL10" s="1" t="n">
        <v>3</v>
      </c>
      <c r="BM10" s="1" t="n">
        <v>3</v>
      </c>
      <c r="BN10" s="1" t="n">
        <v>3</v>
      </c>
      <c r="BO10" s="1" t="n">
        <v>3</v>
      </c>
      <c r="DO10" s="1" t="n">
        <v>3</v>
      </c>
      <c r="DP10" s="1" t="n">
        <v>3</v>
      </c>
      <c r="DQ10" s="1" t="n">
        <v>3</v>
      </c>
      <c r="FM10" s="1" t="n">
        <v>4</v>
      </c>
      <c r="FN10" s="1" t="n">
        <v>4</v>
      </c>
      <c r="FO10" s="1" t="n">
        <v>4</v>
      </c>
      <c r="FP10" s="1" t="s">
        <v>554</v>
      </c>
      <c r="FQ10" s="1" t="s">
        <v>554</v>
      </c>
      <c r="FR10" s="1" t="s">
        <v>671</v>
      </c>
      <c r="FS10" s="1" t="s">
        <v>671</v>
      </c>
      <c r="FT10" s="1" t="s">
        <v>671</v>
      </c>
      <c r="FU10" s="1" t="s">
        <v>567</v>
      </c>
      <c r="FV10" s="1" t="s">
        <v>827</v>
      </c>
    </row>
    <row r="11" customFormat="false" ht="15" hidden="false" customHeight="false" outlineLevel="0" collapsed="false">
      <c r="A11" s="1" t="n">
        <v>10</v>
      </c>
      <c r="B11" s="83" t="n">
        <v>46217.5703935185</v>
      </c>
      <c r="C11" s="83" t="n">
        <v>46217.5753472222</v>
      </c>
      <c r="D11" s="1" t="s">
        <v>828</v>
      </c>
      <c r="E11" s="1" t="s">
        <v>173</v>
      </c>
      <c r="F11" s="1" t="s">
        <v>829</v>
      </c>
      <c r="G11" s="1" t="s">
        <v>331</v>
      </c>
      <c r="AJ11" s="1" t="n">
        <v>5</v>
      </c>
      <c r="AK11" s="1" t="n">
        <v>5</v>
      </c>
      <c r="AL11" s="1" t="n">
        <v>4</v>
      </c>
      <c r="AM11" s="1" t="n">
        <v>3</v>
      </c>
      <c r="AN11" s="1" t="n">
        <v>3</v>
      </c>
      <c r="AO11" s="1" t="n">
        <v>5</v>
      </c>
      <c r="AP11" s="1" t="n">
        <v>5</v>
      </c>
      <c r="AQ11" s="1" t="n">
        <v>3</v>
      </c>
      <c r="AR11" s="1" t="n">
        <v>5</v>
      </c>
      <c r="AS11" s="1" t="n">
        <v>4</v>
      </c>
      <c r="AT11" s="1" t="n">
        <v>4</v>
      </c>
      <c r="DO11" s="1" t="n">
        <v>4</v>
      </c>
      <c r="DP11" s="1" t="n">
        <v>4</v>
      </c>
      <c r="DQ11" s="1" t="n">
        <v>4</v>
      </c>
      <c r="FM11" s="1" t="n">
        <v>4</v>
      </c>
      <c r="FN11" s="1" t="n">
        <v>4</v>
      </c>
      <c r="FO11" s="1" t="n">
        <v>4</v>
      </c>
      <c r="FP11" s="1" t="s">
        <v>554</v>
      </c>
      <c r="FQ11" s="1" t="s">
        <v>554</v>
      </c>
      <c r="FR11" s="1" t="s">
        <v>667</v>
      </c>
      <c r="FS11" s="1" t="s">
        <v>671</v>
      </c>
      <c r="FT11" s="1" t="s">
        <v>669</v>
      </c>
      <c r="FU11" s="1" t="s">
        <v>569</v>
      </c>
      <c r="FV11" s="1" t="s">
        <v>830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2026-07-23T02:13:04Z</dcterms:created>
  <dc:creator>openpyxl</dc:creator>
  <dc:description/>
  <dc:language>en-US</dc:language>
  <cp:lastModifiedBy/>
  <dcterms:modified xsi:type="dcterms:W3CDTF">2026-07-23T02:59:01Z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